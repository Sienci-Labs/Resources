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oma\Desktop\"/>
    </mc:Choice>
  </mc:AlternateContent>
  <xr:revisionPtr revIDLastSave="0" documentId="13_ncr:1_{88325112-6C5B-4481-931D-65FCBD645684}" xr6:coauthVersionLast="46" xr6:coauthVersionMax="46" xr10:uidLastSave="{00000000-0000-0000-0000-000000000000}"/>
  <bookViews>
    <workbookView xWindow="-108" yWindow="-108" windowWidth="23256" windowHeight="12576" xr2:uid="{00000000-000D-0000-FFFF-FFFF00000000}"/>
  </bookViews>
  <sheets>
    <sheet name="Calculator" sheetId="1" r:id="rId1"/>
  </sheets>
  <definedNames>
    <definedName name="_xlnm.Print_Area" localSheetId="0">Calculator!$B$2:$U$58</definedName>
    <definedName name="Project_Info">Calculator!$H$38:$J$51</definedName>
    <definedName name="Time">Calculator!$H$42:$J$46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55" i="1" l="1"/>
  <c r="T9" i="1" l="1"/>
  <c r="T6" i="1" l="1"/>
  <c r="T20" i="1" l="1"/>
  <c r="T19" i="1"/>
  <c r="T11" i="1"/>
  <c r="T23" i="1" l="1"/>
  <c r="T25" i="1" s="1"/>
  <c r="T27" i="1" s="1"/>
  <c r="T14" i="1"/>
</calcChain>
</file>

<file path=xl/sharedStrings.xml><?xml version="1.0" encoding="utf-8"?>
<sst xmlns="http://schemas.openxmlformats.org/spreadsheetml/2006/main" count="47" uniqueCount="45">
  <si>
    <t>desired return</t>
  </si>
  <si>
    <t>Shipping Cost: $</t>
  </si>
  <si>
    <t>Shipping Charge: $</t>
  </si>
  <si>
    <t>amount charged to buyer</t>
  </si>
  <si>
    <t>Sales Tax: %</t>
  </si>
  <si>
    <t>Charge Sales Tax on Shipping</t>
  </si>
  <si>
    <t>Percentage %</t>
  </si>
  <si>
    <r>
      <rPr>
        <i/>
        <sz val="10"/>
        <color theme="0" tint="-0.499984740745262"/>
        <rFont val="Calibri"/>
        <family val="2"/>
        <scheme val="minor"/>
      </rPr>
      <t>and/or</t>
    </r>
    <r>
      <rPr>
        <sz val="11"/>
        <color theme="1"/>
        <rFont val="Calibri"/>
        <family val="2"/>
        <scheme val="minor"/>
      </rPr>
      <t xml:space="preserve"> Fixed $</t>
    </r>
  </si>
  <si>
    <r>
      <t xml:space="preserve">Selling Cost </t>
    </r>
    <r>
      <rPr>
        <i/>
        <sz val="10"/>
        <color theme="0" tint="-0.499984740745262"/>
        <rFont val="Calibri"/>
        <family val="2"/>
        <scheme val="minor"/>
      </rPr>
      <t>(e.g. Amazon, eBay or Etsy Fees)</t>
    </r>
  </si>
  <si>
    <r>
      <t xml:space="preserve">Transaction Cost </t>
    </r>
    <r>
      <rPr>
        <i/>
        <sz val="10"/>
        <color theme="0" tint="-0.499984740745262"/>
        <rFont val="Calibri"/>
        <family val="2"/>
        <scheme val="minor"/>
      </rPr>
      <t>(e.g. CC or PayPal Fees)</t>
    </r>
  </si>
  <si>
    <t>Cost of Box, etc.: $</t>
  </si>
  <si>
    <t>Additional Costs: $</t>
  </si>
  <si>
    <t>Selling Cost:</t>
  </si>
  <si>
    <t>Selling Price:</t>
  </si>
  <si>
    <t>FILL OUT FOR ITEM COST:</t>
  </si>
  <si>
    <t>Profit - Does not include your hourly wage.</t>
  </si>
  <si>
    <t>Cost of Materials:</t>
  </si>
  <si>
    <t>Your Expected Hourly Wage:</t>
  </si>
  <si>
    <t>Cost of Design:</t>
  </si>
  <si>
    <t xml:space="preserve">Overhead Costs %: </t>
  </si>
  <si>
    <t xml:space="preserve">TOTAL COSTS: </t>
  </si>
  <si>
    <t>Shipping Charge:</t>
  </si>
  <si>
    <t>Sales Tax:</t>
  </si>
  <si>
    <t>Transaction Cost:</t>
  </si>
  <si>
    <t>Total Revenue:</t>
  </si>
  <si>
    <t>Profit Margin:</t>
  </si>
  <si>
    <t>Total Profit:</t>
  </si>
  <si>
    <t>amount paid by you</t>
  </si>
  <si>
    <t>TOTAL PRICE to Customer:</t>
  </si>
  <si>
    <t>Date:</t>
  </si>
  <si>
    <t xml:space="preserve">Product/Customer: </t>
  </si>
  <si>
    <t xml:space="preserve">Markup %: </t>
  </si>
  <si>
    <t xml:space="preserve">Minutes of your time on Product: </t>
  </si>
  <si>
    <t xml:space="preserve">Minutes Designing: </t>
  </si>
  <si>
    <t xml:space="preserve">Minutes with Client:     </t>
  </si>
  <si>
    <r>
      <rPr>
        <b/>
        <sz val="11"/>
        <color theme="1"/>
        <rFont val="Calibri"/>
        <family val="2"/>
        <scheme val="minor"/>
      </rPr>
      <t>Overhead Cost</t>
    </r>
    <r>
      <rPr>
        <sz val="11"/>
        <color theme="1"/>
        <rFont val="Calibri"/>
        <family val="2"/>
        <scheme val="minor"/>
      </rPr>
      <t xml:space="preserve"> - Expressed as a % of your hourly wage to cover rent, insurance, etc.</t>
    </r>
  </si>
  <si>
    <t>Selling Price Review</t>
  </si>
  <si>
    <t>Resets form for next calculation</t>
  </si>
  <si>
    <t>format xx/xx/xxxx</t>
  </si>
  <si>
    <r>
      <rPr>
        <b/>
        <sz val="11"/>
        <color theme="1"/>
        <rFont val="Calibri"/>
        <family val="2"/>
        <scheme val="minor"/>
      </rPr>
      <t xml:space="preserve">What is % Markup? </t>
    </r>
    <r>
      <rPr>
        <sz val="11"/>
        <color theme="1"/>
        <rFont val="Calibri"/>
        <family val="2"/>
        <scheme val="minor"/>
      </rPr>
      <t>Markup is the difference between your selling price and your cost.  It is the % of the product cost added to the total cost to cover business expenses and create a profit.</t>
    </r>
  </si>
  <si>
    <r>
      <rPr>
        <b/>
        <sz val="11"/>
        <color theme="1"/>
        <rFont val="Calibri"/>
        <family val="2"/>
        <scheme val="minor"/>
      </rPr>
      <t>Design cost</t>
    </r>
    <r>
      <rPr>
        <sz val="11"/>
        <color theme="1"/>
        <rFont val="Calibri"/>
        <family val="2"/>
        <scheme val="minor"/>
      </rPr>
      <t>s are what you paid for models, vectors, or artwork.</t>
    </r>
  </si>
  <si>
    <r>
      <t>The</t>
    </r>
    <r>
      <rPr>
        <b/>
        <sz val="11"/>
        <color theme="1"/>
        <rFont val="Calibri"/>
        <family val="2"/>
        <scheme val="minor"/>
      </rPr>
      <t xml:space="preserve"> Minutes</t>
    </r>
    <r>
      <rPr>
        <sz val="11"/>
        <color theme="1"/>
        <rFont val="Calibri"/>
        <family val="2"/>
        <scheme val="minor"/>
      </rPr>
      <t xml:space="preserve"> spent on Product, Design, and with the Client are calcuated using your Hourly Wage</t>
    </r>
  </si>
  <si>
    <t>Less Selling and Transaction Costs</t>
  </si>
  <si>
    <t>CNC WORKSHOP PRICE CALCULATOR</t>
  </si>
  <si>
    <t>A Basic Calculator for Hobby and Small Shops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</si>
</sst>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8" formatCode="&quot;$&quot;#,##0.00_);[Red]\(&quot;$&quot;#,##0.00\)"/>
    <numFmt numFmtId="164" formatCode="0.0"/>
    <numFmt numFmtId="165" formatCode="&quot;$&quot;#,##0.00"/>
    <numFmt numFmtId="166" formatCode="0.0%"/>
    <numFmt numFmtId="167" formatCode="[$-F800]dddd\,\ mmmm\ dd\,\ yyyy"/>
    <numFmt numFmtId="168" formatCode="[$-409]mmmm\ d\,\ yyyy;@"/>
  </numFmts>
  <fonts count="18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0"/>
      <color theme="0" tint="-0.499984740745262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8"/>
      <color theme="0"/>
      <name val="Calibri (Body)"/>
    </font>
    <font>
      <i/>
      <sz val="11"/>
      <color theme="0" tint="-0.34998626667073579"/>
      <name val="Calibri (Body)"/>
    </font>
    <font>
      <sz val="11"/>
      <color theme="0" tint="-4.9989318521683403E-2"/>
      <name val="Calibri"/>
      <family val="2"/>
      <scheme val="minor"/>
    </font>
    <font>
      <b/>
      <i/>
      <sz val="9"/>
      <color theme="0" tint="-0.49998474074526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0"/>
        <bgColor indexed="64"/>
      </patternFill>
    </fill>
  </fills>
  <borders count="34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medium">
        <color theme="0" tint="-0.34998626667073579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/>
      <top style="thin">
        <color rgb="FF3F3F3F"/>
      </top>
      <bottom style="thin">
        <color rgb="FF3F3F3F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00000"/>
      </left>
      <right/>
      <top style="thin">
        <color rgb="FFC00000"/>
      </top>
      <bottom/>
      <diagonal/>
    </border>
    <border>
      <left/>
      <right/>
      <top style="thin">
        <color rgb="FFC00000"/>
      </top>
      <bottom/>
      <diagonal/>
    </border>
    <border>
      <left/>
      <right style="thin">
        <color rgb="FFC00000"/>
      </right>
      <top style="thin">
        <color rgb="FFC00000"/>
      </top>
      <bottom/>
      <diagonal/>
    </border>
    <border>
      <left style="thin">
        <color rgb="FFC00000"/>
      </left>
      <right/>
      <top/>
      <bottom/>
      <diagonal/>
    </border>
    <border>
      <left/>
      <right style="thin">
        <color rgb="FFC00000"/>
      </right>
      <top/>
      <bottom/>
      <diagonal/>
    </border>
    <border>
      <left style="thin">
        <color rgb="FFC00000"/>
      </left>
      <right/>
      <top/>
      <bottom style="thin">
        <color rgb="FFC00000"/>
      </bottom>
      <diagonal/>
    </border>
    <border>
      <left/>
      <right/>
      <top/>
      <bottom style="thin">
        <color rgb="FFC00000"/>
      </bottom>
      <diagonal/>
    </border>
    <border>
      <left/>
      <right style="thin">
        <color rgb="FFC00000"/>
      </right>
      <top/>
      <bottom style="thin">
        <color rgb="FFC00000"/>
      </bottom>
      <diagonal/>
    </border>
    <border>
      <left/>
      <right/>
      <top/>
      <bottom style="thick">
        <color rgb="FFC00000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0" fontId="9" fillId="5" borderId="20" applyNumberFormat="0" applyAlignment="0" applyProtection="0"/>
    <xf numFmtId="0" fontId="1" fillId="6" borderId="0" applyNumberFormat="0" applyBorder="0" applyAlignment="0" applyProtection="0"/>
  </cellStyleXfs>
  <cellXfs count="140">
    <xf numFmtId="0" fontId="0" fillId="0" borderId="0" xfId="0"/>
    <xf numFmtId="0" fontId="0" fillId="0" borderId="0" xfId="0" applyAlignment="1" applyProtection="1">
      <alignment vertical="center"/>
    </xf>
    <xf numFmtId="0" fontId="0" fillId="2" borderId="15" xfId="0" applyFill="1" applyBorder="1" applyAlignment="1" applyProtection="1">
      <alignment vertical="center"/>
    </xf>
    <xf numFmtId="0" fontId="0" fillId="2" borderId="0" xfId="0" applyFill="1" applyBorder="1" applyAlignment="1" applyProtection="1">
      <alignment vertical="center"/>
    </xf>
    <xf numFmtId="0" fontId="0" fillId="2" borderId="16" xfId="0" applyFill="1" applyBorder="1" applyAlignment="1" applyProtection="1">
      <alignment vertical="center"/>
    </xf>
    <xf numFmtId="0" fontId="0" fillId="2" borderId="0" xfId="0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right" vertical="center"/>
    </xf>
    <xf numFmtId="0" fontId="0" fillId="2" borderId="0" xfId="0" applyFill="1" applyBorder="1" applyAlignment="1" applyProtection="1">
      <alignment horizontal="right" vertical="center" indent="1"/>
    </xf>
    <xf numFmtId="0" fontId="0" fillId="4" borderId="0" xfId="0" applyFill="1" applyBorder="1" applyAlignment="1" applyProtection="1">
      <alignment vertical="center"/>
    </xf>
    <xf numFmtId="0" fontId="4" fillId="2" borderId="0" xfId="0" applyFont="1" applyFill="1" applyBorder="1" applyAlignment="1" applyProtection="1">
      <alignment horizontal="right" vertical="center" indent="1"/>
    </xf>
    <xf numFmtId="0" fontId="5" fillId="2" borderId="0" xfId="0" applyFont="1" applyFill="1" applyBorder="1" applyAlignment="1" applyProtection="1">
      <alignment vertical="center"/>
    </xf>
    <xf numFmtId="0" fontId="0" fillId="2" borderId="4" xfId="0" applyFill="1" applyBorder="1" applyAlignment="1" applyProtection="1">
      <alignment vertical="center"/>
    </xf>
    <xf numFmtId="0" fontId="0" fillId="2" borderId="5" xfId="0" applyFill="1" applyBorder="1" applyAlignment="1" applyProtection="1">
      <alignment vertical="center"/>
    </xf>
    <xf numFmtId="0" fontId="0" fillId="2" borderId="6" xfId="0" applyFill="1" applyBorder="1" applyAlignment="1" applyProtection="1">
      <alignment vertical="center"/>
    </xf>
    <xf numFmtId="0" fontId="0" fillId="2" borderId="7" xfId="0" applyFill="1" applyBorder="1" applyAlignment="1" applyProtection="1">
      <alignment vertical="center"/>
    </xf>
    <xf numFmtId="0" fontId="0" fillId="2" borderId="8" xfId="0" applyFill="1" applyBorder="1" applyAlignment="1" applyProtection="1">
      <alignment vertical="center"/>
    </xf>
    <xf numFmtId="0" fontId="0" fillId="2" borderId="9" xfId="0" applyFill="1" applyBorder="1" applyAlignment="1" applyProtection="1">
      <alignment vertical="center"/>
    </xf>
    <xf numFmtId="0" fontId="0" fillId="2" borderId="10" xfId="0" applyFill="1" applyBorder="1" applyAlignment="1" applyProtection="1">
      <alignment vertical="center"/>
    </xf>
    <xf numFmtId="0" fontId="0" fillId="2" borderId="11" xfId="0" applyFill="1" applyBorder="1" applyAlignment="1" applyProtection="1">
      <alignment vertical="center"/>
    </xf>
    <xf numFmtId="0" fontId="0" fillId="2" borderId="17" xfId="0" applyFill="1" applyBorder="1" applyAlignment="1" applyProtection="1">
      <alignment vertical="center"/>
    </xf>
    <xf numFmtId="0" fontId="0" fillId="2" borderId="18" xfId="0" applyFill="1" applyBorder="1" applyAlignment="1" applyProtection="1">
      <alignment vertical="center"/>
    </xf>
    <xf numFmtId="0" fontId="0" fillId="2" borderId="19" xfId="0" applyFill="1" applyBorder="1" applyAlignment="1" applyProtection="1">
      <alignment vertical="center"/>
    </xf>
    <xf numFmtId="0" fontId="3" fillId="2" borderId="0" xfId="0" applyFont="1" applyFill="1" applyBorder="1" applyAlignment="1" applyProtection="1">
      <alignment vertical="center"/>
    </xf>
    <xf numFmtId="0" fontId="0" fillId="0" borderId="0" xfId="0" applyAlignment="1" applyProtection="1">
      <alignment vertical="center" wrapText="1"/>
    </xf>
    <xf numFmtId="0" fontId="3" fillId="2" borderId="0" xfId="0" applyFont="1" applyFill="1" applyBorder="1" applyAlignment="1" applyProtection="1">
      <alignment horizontal="right" vertical="center"/>
    </xf>
    <xf numFmtId="0" fontId="3" fillId="0" borderId="0" xfId="0" applyFont="1" applyAlignment="1">
      <alignment vertical="top" wrapText="1"/>
    </xf>
    <xf numFmtId="8" fontId="7" fillId="2" borderId="0" xfId="0" applyNumberFormat="1" applyFont="1" applyFill="1" applyBorder="1" applyAlignment="1" applyProtection="1">
      <alignment horizontal="right" vertical="center"/>
    </xf>
    <xf numFmtId="8" fontId="12" fillId="7" borderId="0" xfId="0" applyNumberFormat="1" applyFont="1" applyFill="1" applyBorder="1" applyAlignment="1" applyProtection="1">
      <alignment horizontal="right" vertical="center"/>
    </xf>
    <xf numFmtId="0" fontId="0" fillId="3" borderId="0" xfId="0" applyFill="1" applyBorder="1" applyAlignment="1" applyProtection="1">
      <alignment vertical="center"/>
    </xf>
    <xf numFmtId="8" fontId="3" fillId="4" borderId="0" xfId="0" applyNumberFormat="1" applyFont="1" applyFill="1" applyBorder="1" applyAlignment="1" applyProtection="1">
      <alignment horizontal="right" vertical="center"/>
    </xf>
    <xf numFmtId="0" fontId="0" fillId="7" borderId="0" xfId="0" applyFill="1" applyBorder="1" applyAlignment="1" applyProtection="1">
      <alignment vertical="center"/>
    </xf>
    <xf numFmtId="0" fontId="3" fillId="7" borderId="0" xfId="0" applyFont="1" applyFill="1" applyBorder="1" applyAlignment="1" applyProtection="1">
      <alignment horizontal="right" vertical="center" indent="1"/>
    </xf>
    <xf numFmtId="0" fontId="0" fillId="7" borderId="0" xfId="0" applyFill="1" applyBorder="1" applyAlignment="1" applyProtection="1">
      <alignment horizontal="right" vertical="center" indent="1"/>
    </xf>
    <xf numFmtId="0" fontId="0" fillId="7" borderId="0" xfId="0" applyFill="1" applyBorder="1" applyAlignment="1" applyProtection="1">
      <alignment horizontal="right" vertical="center"/>
    </xf>
    <xf numFmtId="166" fontId="0" fillId="7" borderId="0" xfId="0" applyNumberFormat="1" applyFill="1" applyBorder="1" applyAlignment="1" applyProtection="1">
      <alignment horizontal="right" vertical="center"/>
    </xf>
    <xf numFmtId="0" fontId="0" fillId="7" borderId="0" xfId="0" applyFont="1" applyFill="1" applyBorder="1" applyAlignment="1" applyProtection="1">
      <alignment horizontal="right" vertical="center" indent="1"/>
    </xf>
    <xf numFmtId="0" fontId="10" fillId="7" borderId="0" xfId="0" applyFont="1" applyFill="1" applyBorder="1" applyAlignment="1" applyProtection="1">
      <alignment vertical="center"/>
    </xf>
    <xf numFmtId="0" fontId="10" fillId="7" borderId="0" xfId="0" applyFont="1" applyFill="1" applyBorder="1" applyAlignment="1" applyProtection="1">
      <alignment horizontal="right" vertical="center" indent="1"/>
    </xf>
    <xf numFmtId="165" fontId="10" fillId="7" borderId="0" xfId="1" applyNumberFormat="1" applyFont="1" applyFill="1" applyBorder="1" applyAlignment="1" applyProtection="1">
      <alignment horizontal="right" vertical="center"/>
    </xf>
    <xf numFmtId="1" fontId="0" fillId="0" borderId="1" xfId="1" applyNumberFormat="1" applyFont="1" applyFill="1" applyBorder="1" applyAlignment="1" applyProtection="1">
      <alignment horizontal="left" vertical="center" indent="1"/>
      <protection locked="0"/>
    </xf>
    <xf numFmtId="1" fontId="0" fillId="0" borderId="24" xfId="0" applyNumberFormat="1" applyFill="1" applyBorder="1" applyAlignment="1" applyProtection="1">
      <alignment horizontal="left" vertical="center"/>
      <protection locked="0"/>
    </xf>
    <xf numFmtId="0" fontId="8" fillId="2" borderId="15" xfId="0" applyFont="1" applyFill="1" applyBorder="1" applyAlignment="1" applyProtection="1">
      <alignment horizontal="center" vertical="center"/>
    </xf>
    <xf numFmtId="0" fontId="8" fillId="2" borderId="0" xfId="0" applyFont="1" applyFill="1" applyBorder="1" applyAlignment="1" applyProtection="1">
      <alignment horizontal="center" vertical="center"/>
    </xf>
    <xf numFmtId="0" fontId="8" fillId="2" borderId="16" xfId="0" applyFont="1" applyFill="1" applyBorder="1" applyAlignment="1" applyProtection="1">
      <alignment horizontal="center" vertical="center"/>
    </xf>
    <xf numFmtId="0" fontId="0" fillId="2" borderId="0" xfId="0" applyFill="1" applyAlignment="1" applyProtection="1">
      <alignment vertical="center" wrapText="1"/>
    </xf>
    <xf numFmtId="0" fontId="5" fillId="2" borderId="0" xfId="0" applyFont="1" applyFill="1" applyBorder="1" applyAlignment="1" applyProtection="1">
      <alignment horizontal="right" vertical="center" indent="1"/>
    </xf>
    <xf numFmtId="0" fontId="0" fillId="0" borderId="0" xfId="0" applyFill="1" applyBorder="1" applyAlignment="1" applyProtection="1">
      <alignment vertical="center"/>
    </xf>
    <xf numFmtId="165" fontId="7" fillId="2" borderId="0" xfId="0" applyNumberFormat="1" applyFont="1" applyFill="1" applyBorder="1" applyAlignment="1" applyProtection="1">
      <alignment horizontal="right" vertical="center"/>
    </xf>
    <xf numFmtId="0" fontId="0" fillId="0" borderId="0" xfId="0" applyFill="1" applyAlignment="1" applyProtection="1">
      <alignment vertical="center"/>
    </xf>
    <xf numFmtId="0" fontId="6" fillId="0" borderId="0" xfId="0" applyFont="1" applyFill="1" applyBorder="1" applyAlignment="1" applyProtection="1">
      <alignment vertical="center"/>
    </xf>
    <xf numFmtId="8" fontId="11" fillId="0" borderId="0" xfId="0" applyNumberFormat="1" applyFont="1" applyFill="1" applyBorder="1" applyAlignment="1" applyProtection="1">
      <alignment horizontal="right" vertical="center"/>
    </xf>
    <xf numFmtId="0" fontId="0" fillId="0" borderId="0" xfId="0" applyFill="1" applyBorder="1" applyAlignment="1" applyProtection="1">
      <alignment horizontal="right" vertical="center"/>
    </xf>
    <xf numFmtId="8" fontId="7" fillId="0" borderId="0" xfId="0" applyNumberFormat="1" applyFont="1" applyFill="1" applyBorder="1" applyAlignment="1" applyProtection="1">
      <alignment horizontal="right" vertical="center"/>
    </xf>
    <xf numFmtId="8" fontId="3" fillId="0" borderId="0" xfId="0" applyNumberFormat="1" applyFont="1" applyFill="1" applyBorder="1" applyAlignment="1" applyProtection="1">
      <alignment horizontal="left" vertical="center"/>
    </xf>
    <xf numFmtId="8" fontId="7" fillId="0" borderId="0" xfId="0" applyNumberFormat="1" applyFont="1" applyFill="1" applyBorder="1" applyAlignment="1" applyProtection="1">
      <alignment horizontal="left" vertical="center"/>
    </xf>
    <xf numFmtId="8" fontId="13" fillId="0" borderId="0" xfId="0" applyNumberFormat="1" applyFont="1" applyFill="1" applyBorder="1" applyAlignment="1" applyProtection="1">
      <alignment horizontal="right" vertical="center"/>
    </xf>
    <xf numFmtId="165" fontId="7" fillId="0" borderId="0" xfId="1" applyNumberFormat="1" applyFont="1" applyFill="1" applyBorder="1" applyAlignment="1" applyProtection="1">
      <alignment horizontal="left" vertical="center"/>
    </xf>
    <xf numFmtId="165" fontId="7" fillId="0" borderId="0" xfId="1" applyNumberFormat="1" applyFont="1" applyFill="1" applyBorder="1" applyAlignment="1" applyProtection="1">
      <alignment horizontal="right" vertical="center"/>
    </xf>
    <xf numFmtId="0" fontId="3" fillId="0" borderId="0" xfId="0" applyFont="1" applyFill="1" applyAlignment="1">
      <alignment vertical="top" wrapText="1"/>
    </xf>
    <xf numFmtId="0" fontId="0" fillId="0" borderId="0" xfId="0" applyFill="1" applyAlignment="1" applyProtection="1">
      <alignment vertical="center" wrapText="1"/>
    </xf>
    <xf numFmtId="0" fontId="0" fillId="2" borderId="0" xfId="0" applyFill="1" applyBorder="1" applyAlignment="1" applyProtection="1">
      <alignment vertical="center" wrapText="1"/>
    </xf>
    <xf numFmtId="0" fontId="0" fillId="0" borderId="0" xfId="0" applyBorder="1" applyAlignment="1" applyProtection="1">
      <alignment vertical="center" wrapText="1"/>
    </xf>
    <xf numFmtId="0" fontId="0" fillId="2" borderId="0" xfId="0" applyFill="1" applyAlignment="1" applyProtection="1">
      <alignment horizontal="right" vertical="top" wrapText="1"/>
    </xf>
    <xf numFmtId="167" fontId="0" fillId="2" borderId="0" xfId="0" applyNumberFormat="1" applyFill="1" applyBorder="1" applyAlignment="1" applyProtection="1">
      <alignment horizontal="center" vertical="center" wrapText="1"/>
    </xf>
    <xf numFmtId="0" fontId="0" fillId="2" borderId="28" xfId="0" applyFill="1" applyBorder="1" applyAlignment="1" applyProtection="1">
      <alignment vertical="center"/>
    </xf>
    <xf numFmtId="0" fontId="0" fillId="2" borderId="29" xfId="0" applyFill="1" applyBorder="1" applyAlignment="1" applyProtection="1">
      <alignment vertical="center"/>
    </xf>
    <xf numFmtId="8" fontId="11" fillId="2" borderId="29" xfId="0" applyNumberFormat="1" applyFont="1" applyFill="1" applyBorder="1" applyAlignment="1" applyProtection="1">
      <alignment horizontal="right" vertical="center"/>
    </xf>
    <xf numFmtId="0" fontId="0" fillId="2" borderId="29" xfId="0" applyFill="1" applyBorder="1" applyAlignment="1" applyProtection="1">
      <alignment horizontal="right" vertical="center"/>
    </xf>
    <xf numFmtId="8" fontId="7" fillId="2" borderId="29" xfId="0" applyNumberFormat="1" applyFont="1" applyFill="1" applyBorder="1" applyAlignment="1" applyProtection="1">
      <alignment horizontal="right" vertical="center"/>
    </xf>
    <xf numFmtId="8" fontId="3" fillId="2" borderId="29" xfId="0" applyNumberFormat="1" applyFont="1" applyFill="1" applyBorder="1" applyAlignment="1" applyProtection="1">
      <alignment horizontal="left" vertical="center"/>
    </xf>
    <xf numFmtId="0" fontId="0" fillId="2" borderId="29" xfId="0" applyFill="1" applyBorder="1" applyAlignment="1" applyProtection="1">
      <alignment vertical="center" wrapText="1"/>
    </xf>
    <xf numFmtId="8" fontId="7" fillId="2" borderId="29" xfId="0" applyNumberFormat="1" applyFont="1" applyFill="1" applyBorder="1" applyAlignment="1" applyProtection="1">
      <alignment horizontal="left" vertical="center"/>
    </xf>
    <xf numFmtId="8" fontId="13" fillId="2" borderId="29" xfId="0" applyNumberFormat="1" applyFont="1" applyFill="1" applyBorder="1" applyAlignment="1" applyProtection="1">
      <alignment horizontal="right" vertical="center"/>
    </xf>
    <xf numFmtId="165" fontId="7" fillId="2" borderId="29" xfId="1" applyNumberFormat="1" applyFont="1" applyFill="1" applyBorder="1" applyAlignment="1" applyProtection="1">
      <alignment horizontal="left" vertical="center"/>
    </xf>
    <xf numFmtId="165" fontId="7" fillId="2" borderId="29" xfId="1" applyNumberFormat="1" applyFont="1" applyFill="1" applyBorder="1" applyAlignment="1" applyProtection="1">
      <alignment horizontal="right" vertical="center"/>
    </xf>
    <xf numFmtId="0" fontId="0" fillId="2" borderId="30" xfId="0" applyFill="1" applyBorder="1" applyAlignment="1" applyProtection="1">
      <alignment vertical="center"/>
    </xf>
    <xf numFmtId="0" fontId="0" fillId="2" borderId="31" xfId="0" applyFill="1" applyBorder="1" applyAlignment="1" applyProtection="1">
      <alignment vertical="center"/>
    </xf>
    <xf numFmtId="0" fontId="0" fillId="2" borderId="32" xfId="0" applyFill="1" applyBorder="1" applyAlignment="1" applyProtection="1">
      <alignment vertical="center"/>
    </xf>
    <xf numFmtId="0" fontId="0" fillId="2" borderId="18" xfId="0" applyFill="1" applyBorder="1" applyAlignment="1" applyProtection="1">
      <alignment horizontal="left" vertical="center"/>
    </xf>
    <xf numFmtId="0" fontId="4" fillId="2" borderId="0" xfId="0" applyFont="1" applyFill="1" applyBorder="1" applyAlignment="1" applyProtection="1">
      <alignment horizontal="left" vertical="center"/>
    </xf>
    <xf numFmtId="0" fontId="0" fillId="4" borderId="0" xfId="0" applyFill="1" applyBorder="1" applyAlignment="1" applyProtection="1">
      <alignment horizontal="right" vertical="center" indent="1"/>
    </xf>
    <xf numFmtId="0" fontId="0" fillId="2" borderId="0" xfId="0" applyFill="1" applyBorder="1" applyAlignment="1" applyProtection="1">
      <alignment horizontal="right" vertical="center"/>
    </xf>
    <xf numFmtId="0" fontId="0" fillId="2" borderId="0" xfId="0" applyFill="1" applyBorder="1" applyAlignment="1" applyProtection="1">
      <alignment horizontal="left" vertical="center"/>
    </xf>
    <xf numFmtId="0" fontId="0" fillId="2" borderId="0" xfId="0" applyFill="1" applyBorder="1" applyAlignment="1" applyProtection="1">
      <alignment vertical="top" wrapText="1"/>
    </xf>
    <xf numFmtId="1" fontId="0" fillId="2" borderId="0" xfId="0" applyNumberFormat="1" applyFill="1" applyBorder="1" applyAlignment="1" applyProtection="1">
      <alignment horizontal="left" vertical="center"/>
    </xf>
    <xf numFmtId="1" fontId="0" fillId="0" borderId="3" xfId="0" applyNumberFormat="1" applyFill="1" applyBorder="1" applyAlignment="1" applyProtection="1">
      <alignment horizontal="left" vertical="center"/>
    </xf>
    <xf numFmtId="1" fontId="0" fillId="2" borderId="0" xfId="1" applyNumberFormat="1" applyFont="1" applyFill="1" applyBorder="1" applyAlignment="1" applyProtection="1">
      <alignment horizontal="left" vertical="center" indent="1"/>
    </xf>
    <xf numFmtId="1" fontId="0" fillId="0" borderId="3" xfId="1" applyNumberFormat="1" applyFont="1" applyFill="1" applyBorder="1" applyAlignment="1" applyProtection="1">
      <alignment horizontal="left" vertical="center" indent="1"/>
    </xf>
    <xf numFmtId="0" fontId="16" fillId="2" borderId="15" xfId="0" applyFont="1" applyFill="1" applyBorder="1" applyAlignment="1" applyProtection="1">
      <alignment vertical="center"/>
      <protection locked="0" hidden="1"/>
    </xf>
    <xf numFmtId="0" fontId="0" fillId="2" borderId="33" xfId="0" applyFill="1" applyBorder="1" applyAlignment="1" applyProtection="1">
      <alignment vertical="center"/>
    </xf>
    <xf numFmtId="0" fontId="0" fillId="2" borderId="33" xfId="0" applyFill="1" applyBorder="1" applyAlignment="1" applyProtection="1">
      <alignment horizontal="right" vertical="center" indent="1"/>
    </xf>
    <xf numFmtId="8" fontId="7" fillId="2" borderId="33" xfId="0" applyNumberFormat="1" applyFont="1" applyFill="1" applyBorder="1" applyAlignment="1" applyProtection="1">
      <alignment horizontal="right" vertical="center"/>
    </xf>
    <xf numFmtId="0" fontId="17" fillId="2" borderId="0" xfId="0" applyFont="1" applyFill="1" applyBorder="1" applyAlignment="1" applyProtection="1">
      <alignment horizontal="right" vertical="center"/>
    </xf>
    <xf numFmtId="0" fontId="0" fillId="2" borderId="0" xfId="0" applyFill="1" applyBorder="1" applyAlignment="1" applyProtection="1">
      <alignment horizontal="left" vertical="top" wrapText="1"/>
    </xf>
    <xf numFmtId="0" fontId="14" fillId="3" borderId="25" xfId="0" applyFont="1" applyFill="1" applyBorder="1" applyAlignment="1" applyProtection="1">
      <alignment horizontal="center" vertical="center"/>
    </xf>
    <xf numFmtId="0" fontId="6" fillId="3" borderId="26" xfId="0" applyFont="1" applyFill="1" applyBorder="1" applyAlignment="1" applyProtection="1">
      <alignment horizontal="center" vertical="center"/>
    </xf>
    <xf numFmtId="0" fontId="6" fillId="3" borderId="27" xfId="0" applyFont="1" applyFill="1" applyBorder="1" applyAlignment="1" applyProtection="1">
      <alignment horizontal="center" vertical="center"/>
    </xf>
    <xf numFmtId="0" fontId="6" fillId="3" borderId="28" xfId="0" applyFont="1" applyFill="1" applyBorder="1" applyAlignment="1" applyProtection="1">
      <alignment horizontal="center" vertical="center"/>
    </xf>
    <xf numFmtId="0" fontId="6" fillId="3" borderId="0" xfId="0" applyFont="1" applyFill="1" applyBorder="1" applyAlignment="1" applyProtection="1">
      <alignment horizontal="center" vertical="center"/>
    </xf>
    <xf numFmtId="0" fontId="6" fillId="3" borderId="29" xfId="0" applyFont="1" applyFill="1" applyBorder="1" applyAlignment="1" applyProtection="1">
      <alignment horizontal="center" vertical="center"/>
    </xf>
    <xf numFmtId="0" fontId="3" fillId="2" borderId="0" xfId="0" applyFont="1" applyFill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right" vertical="center" indent="1"/>
    </xf>
    <xf numFmtId="0" fontId="5" fillId="2" borderId="0" xfId="0" applyFont="1" applyFill="1" applyBorder="1" applyAlignment="1" applyProtection="1">
      <alignment horizontal="center"/>
    </xf>
    <xf numFmtId="0" fontId="0" fillId="2" borderId="0" xfId="0" applyFill="1" applyBorder="1" applyAlignment="1" applyProtection="1">
      <alignment horizontal="right" vertical="center"/>
    </xf>
    <xf numFmtId="2" fontId="0" fillId="0" borderId="1" xfId="0" applyNumberFormat="1" applyFill="1" applyBorder="1" applyAlignment="1" applyProtection="1">
      <alignment horizontal="left" vertical="center" indent="1"/>
      <protection locked="0"/>
    </xf>
    <xf numFmtId="2" fontId="0" fillId="0" borderId="2" xfId="0" applyNumberFormat="1" applyFill="1" applyBorder="1" applyAlignment="1" applyProtection="1">
      <alignment horizontal="left" vertical="center" indent="1"/>
      <protection locked="0"/>
    </xf>
    <xf numFmtId="2" fontId="0" fillId="0" borderId="3" xfId="0" applyNumberFormat="1" applyFill="1" applyBorder="1" applyAlignment="1" applyProtection="1">
      <alignment horizontal="left" vertical="center" indent="1"/>
      <protection locked="0"/>
    </xf>
    <xf numFmtId="165" fontId="0" fillId="0" borderId="1" xfId="0" applyNumberFormat="1" applyFill="1" applyBorder="1" applyAlignment="1" applyProtection="1">
      <alignment horizontal="right" vertical="center" indent="1"/>
      <protection locked="0"/>
    </xf>
    <xf numFmtId="165" fontId="0" fillId="0" borderId="2" xfId="0" applyNumberFormat="1" applyFill="1" applyBorder="1" applyAlignment="1" applyProtection="1">
      <alignment horizontal="right" vertical="center" indent="1"/>
      <protection locked="0"/>
    </xf>
    <xf numFmtId="165" fontId="0" fillId="0" borderId="3" xfId="0" applyNumberFormat="1" applyFill="1" applyBorder="1" applyAlignment="1" applyProtection="1">
      <alignment horizontal="right" vertical="center" indent="1"/>
      <protection locked="0"/>
    </xf>
    <xf numFmtId="165" fontId="0" fillId="0" borderId="1" xfId="0" applyNumberFormat="1" applyFill="1" applyBorder="1" applyAlignment="1" applyProtection="1">
      <alignment horizontal="left" vertical="center" indent="1"/>
      <protection locked="0"/>
    </xf>
    <xf numFmtId="165" fontId="0" fillId="0" borderId="2" xfId="0" applyNumberFormat="1" applyFill="1" applyBorder="1" applyAlignment="1" applyProtection="1">
      <alignment horizontal="left" vertical="center" indent="1"/>
      <protection locked="0"/>
    </xf>
    <xf numFmtId="165" fontId="0" fillId="0" borderId="3" xfId="0" applyNumberFormat="1" applyFill="1" applyBorder="1" applyAlignment="1" applyProtection="1">
      <alignment horizontal="left" vertical="center" indent="1"/>
      <protection locked="0"/>
    </xf>
    <xf numFmtId="164" fontId="0" fillId="0" borderId="1" xfId="0" applyNumberFormat="1" applyFill="1" applyBorder="1" applyAlignment="1" applyProtection="1">
      <alignment horizontal="left" vertical="center" indent="1"/>
      <protection locked="0"/>
    </xf>
    <xf numFmtId="164" fontId="0" fillId="0" borderId="2" xfId="0" applyNumberFormat="1" applyFill="1" applyBorder="1" applyAlignment="1" applyProtection="1">
      <alignment horizontal="left" vertical="center" indent="1"/>
      <protection locked="0"/>
    </xf>
    <xf numFmtId="164" fontId="0" fillId="0" borderId="3" xfId="0" applyNumberFormat="1" applyFill="1" applyBorder="1" applyAlignment="1" applyProtection="1">
      <alignment horizontal="left" vertical="center" indent="1"/>
      <protection locked="0"/>
    </xf>
    <xf numFmtId="0" fontId="0" fillId="2" borderId="0" xfId="0" applyFill="1" applyBorder="1" applyAlignment="1" applyProtection="1">
      <alignment horizontal="left" vertical="center"/>
    </xf>
    <xf numFmtId="0" fontId="8" fillId="3" borderId="12" xfId="0" applyFont="1" applyFill="1" applyBorder="1" applyAlignment="1" applyProtection="1">
      <alignment horizontal="center" vertical="center"/>
    </xf>
    <xf numFmtId="0" fontId="8" fillId="3" borderId="13" xfId="0" applyFont="1" applyFill="1" applyBorder="1" applyAlignment="1" applyProtection="1">
      <alignment horizontal="center" vertical="center"/>
    </xf>
    <xf numFmtId="0" fontId="8" fillId="3" borderId="14" xfId="0" applyFont="1" applyFill="1" applyBorder="1" applyAlignment="1" applyProtection="1">
      <alignment horizontal="center" vertical="center"/>
    </xf>
    <xf numFmtId="0" fontId="0" fillId="0" borderId="1" xfId="0" applyFill="1" applyBorder="1" applyAlignment="1" applyProtection="1">
      <alignment horizontal="left" vertical="center" indent="1"/>
      <protection locked="0"/>
    </xf>
    <xf numFmtId="0" fontId="0" fillId="0" borderId="2" xfId="0" applyFill="1" applyBorder="1" applyAlignment="1" applyProtection="1">
      <alignment horizontal="left" vertical="center" indent="1"/>
      <protection locked="0"/>
    </xf>
    <xf numFmtId="2" fontId="1" fillId="2" borderId="0" xfId="3" applyNumberFormat="1" applyFill="1" applyBorder="1" applyAlignment="1" applyProtection="1">
      <alignment horizontal="left" vertical="center" indent="1"/>
    </xf>
    <xf numFmtId="0" fontId="0" fillId="2" borderId="7" xfId="0" applyFill="1" applyBorder="1" applyAlignment="1" applyProtection="1">
      <alignment horizontal="right" vertical="center"/>
    </xf>
    <xf numFmtId="0" fontId="0" fillId="7" borderId="1" xfId="0" applyFill="1" applyBorder="1" applyAlignment="1" applyProtection="1">
      <alignment horizontal="center" vertical="center"/>
      <protection locked="0"/>
    </xf>
    <xf numFmtId="0" fontId="0" fillId="7" borderId="2" xfId="0" applyFill="1" applyBorder="1" applyAlignment="1" applyProtection="1">
      <alignment horizontal="center" vertical="center"/>
      <protection locked="0"/>
    </xf>
    <xf numFmtId="168" fontId="0" fillId="7" borderId="1" xfId="0" applyNumberFormat="1" applyFill="1" applyBorder="1" applyAlignment="1" applyProtection="1">
      <alignment horizontal="center" vertical="center" wrapText="1"/>
      <protection locked="0"/>
    </xf>
    <xf numFmtId="168" fontId="0" fillId="7" borderId="2" xfId="0" applyNumberFormat="1" applyFill="1" applyBorder="1" applyAlignment="1" applyProtection="1">
      <alignment horizontal="center" vertical="center" wrapText="1"/>
      <protection locked="0"/>
    </xf>
    <xf numFmtId="0" fontId="15" fillId="2" borderId="15" xfId="0" applyFont="1" applyFill="1" applyBorder="1" applyAlignment="1" applyProtection="1">
      <alignment horizontal="right" vertical="top" wrapText="1"/>
    </xf>
    <xf numFmtId="0" fontId="15" fillId="2" borderId="0" xfId="0" applyFont="1" applyFill="1" applyAlignment="1" applyProtection="1">
      <alignment horizontal="right" vertical="top" wrapText="1"/>
    </xf>
    <xf numFmtId="165" fontId="9" fillId="7" borderId="21" xfId="2" applyNumberFormat="1" applyFont="1" applyFill="1" applyBorder="1" applyAlignment="1" applyProtection="1">
      <alignment horizontal="right"/>
    </xf>
    <xf numFmtId="165" fontId="9" fillId="7" borderId="22" xfId="2" applyNumberFormat="1" applyFont="1" applyFill="1" applyBorder="1" applyAlignment="1" applyProtection="1">
      <alignment horizontal="right"/>
    </xf>
    <xf numFmtId="165" fontId="9" fillId="7" borderId="23" xfId="2" applyNumberFormat="1" applyFont="1" applyFill="1" applyBorder="1" applyAlignment="1" applyProtection="1">
      <alignment horizontal="right"/>
    </xf>
    <xf numFmtId="0" fontId="3" fillId="0" borderId="0" xfId="0" applyFont="1" applyAlignment="1" applyProtection="1">
      <alignment vertical="top" wrapText="1"/>
    </xf>
    <xf numFmtId="0" fontId="0" fillId="0" borderId="0" xfId="0" applyAlignment="1">
      <alignment vertical="top" wrapText="1"/>
    </xf>
    <xf numFmtId="0" fontId="0" fillId="0" borderId="0" xfId="0" applyAlignment="1" applyProtection="1">
      <alignment vertical="top" wrapText="1"/>
    </xf>
    <xf numFmtId="0" fontId="0" fillId="2" borderId="0" xfId="0" applyFill="1" applyBorder="1" applyAlignment="1" applyProtection="1">
      <alignment horizontal="right" vertical="center" wrapText="1"/>
    </xf>
    <xf numFmtId="0" fontId="0" fillId="0" borderId="0" xfId="0" applyAlignment="1" applyProtection="1">
      <alignment horizontal="right" vertical="center" wrapText="1"/>
    </xf>
    <xf numFmtId="0" fontId="0" fillId="0" borderId="0" xfId="0" applyBorder="1" applyAlignment="1" applyProtection="1">
      <alignment horizontal="right" vertical="center" wrapText="1"/>
    </xf>
    <xf numFmtId="0" fontId="3" fillId="0" borderId="0" xfId="0" applyFont="1" applyAlignment="1">
      <alignment vertical="top" wrapText="1"/>
    </xf>
  </cellXfs>
  <cellStyles count="4">
    <cellStyle name="20% - Accent3" xfId="3" builtinId="38"/>
    <cellStyle name="Normal" xfId="0" builtinId="0"/>
    <cellStyle name="Output" xfId="2" builtinId="21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fmlaLink="B17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144780</xdr:colOff>
          <xdr:row>18</xdr:row>
          <xdr:rowOff>30480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1</xdr:col>
      <xdr:colOff>244231</xdr:colOff>
      <xdr:row>54</xdr:row>
      <xdr:rowOff>130258</xdr:rowOff>
    </xdr:from>
    <xdr:to>
      <xdr:col>3</xdr:col>
      <xdr:colOff>16282</xdr:colOff>
      <xdr:row>55</xdr:row>
      <xdr:rowOff>170962</xdr:rowOff>
    </xdr:to>
    <xdr:sp macro="[0]!Rese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44359" y="8377117"/>
          <a:ext cx="822244" cy="244230"/>
        </a:xfrm>
        <a:prstGeom prst="roundRect">
          <a:avLst/>
        </a:prstGeom>
        <a:solidFill>
          <a:srgbClr val="FF000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RESET</a:t>
          </a:r>
        </a:p>
      </xdr:txBody>
    </xdr:sp>
    <xdr:clientData fPrintsWithSheet="0"/>
  </xdr:twoCellAnchor>
  <xdr:twoCellAnchor>
    <xdr:from>
      <xdr:col>19</xdr:col>
      <xdr:colOff>21357</xdr:colOff>
      <xdr:row>54</xdr:row>
      <xdr:rowOff>79829</xdr:rowOff>
    </xdr:from>
    <xdr:to>
      <xdr:col>19</xdr:col>
      <xdr:colOff>859378</xdr:colOff>
      <xdr:row>55</xdr:row>
      <xdr:rowOff>116386</xdr:rowOff>
    </xdr:to>
    <xdr:sp macro="[0]!PrintActiveSheet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6960637" y="8045269"/>
          <a:ext cx="838021" cy="239757"/>
        </a:xfrm>
        <a:prstGeom prst="roundRect">
          <a:avLst/>
        </a:prstGeom>
        <a:solidFill>
          <a:srgbClr val="00B05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PRINT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Y67"/>
  <sheetViews>
    <sheetView showGridLines="0" tabSelected="1" zoomScale="125" zoomScaleNormal="125" workbookViewId="0">
      <selection activeCell="H49" sqref="H49:J49"/>
    </sheetView>
  </sheetViews>
  <sheetFormatPr defaultColWidth="38" defaultRowHeight="0" customHeight="1" zeroHeight="1"/>
  <cols>
    <col min="1" max="1" width="9.109375" style="1" customWidth="1"/>
    <col min="2" max="2" width="10.88671875" style="23" customWidth="1"/>
    <col min="3" max="3" width="3" style="23" customWidth="1"/>
    <col min="4" max="7" width="4.88671875" style="23" customWidth="1"/>
    <col min="8" max="8" width="7" style="23" customWidth="1"/>
    <col min="9" max="9" width="5.109375" style="23" customWidth="1"/>
    <col min="10" max="10" width="4.44140625" style="23" hidden="1" customWidth="1"/>
    <col min="11" max="11" width="2" style="23" customWidth="1"/>
    <col min="12" max="12" width="4.109375" style="23" customWidth="1"/>
    <col min="13" max="13" width="4" style="23" customWidth="1"/>
    <col min="14" max="14" width="4.109375" style="23" customWidth="1"/>
    <col min="15" max="15" width="3" style="23" customWidth="1"/>
    <col min="16" max="19" width="4.88671875" style="23" customWidth="1"/>
    <col min="20" max="20" width="12.109375" style="23" customWidth="1"/>
    <col min="21" max="21" width="4.88671875" style="23" customWidth="1"/>
    <col min="22" max="22" width="6.6640625" style="59" customWidth="1"/>
    <col min="23" max="23" width="2" style="59" customWidth="1"/>
    <col min="24" max="24" width="4.109375" style="59" customWidth="1"/>
    <col min="25" max="25" width="4.109375" style="23" customWidth="1"/>
    <col min="26" max="16384" width="38" style="1"/>
  </cols>
  <sheetData>
    <row r="1" spans="2:25" ht="18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48"/>
      <c r="W1" s="48"/>
      <c r="X1" s="48"/>
      <c r="Y1" s="1"/>
    </row>
    <row r="2" spans="2:25" ht="21.75" customHeight="1">
      <c r="B2" s="117" t="s">
        <v>43</v>
      </c>
      <c r="C2" s="118"/>
      <c r="D2" s="118"/>
      <c r="E2" s="118"/>
      <c r="F2" s="118"/>
      <c r="G2" s="118"/>
      <c r="H2" s="118"/>
      <c r="I2" s="118"/>
      <c r="J2" s="118"/>
      <c r="K2" s="118"/>
      <c r="L2" s="119"/>
      <c r="M2" s="1"/>
      <c r="N2" s="94" t="s">
        <v>36</v>
      </c>
      <c r="O2" s="95"/>
      <c r="P2" s="95"/>
      <c r="Q2" s="95"/>
      <c r="R2" s="95"/>
      <c r="S2" s="95"/>
      <c r="T2" s="95"/>
      <c r="U2" s="96"/>
      <c r="V2" s="49"/>
      <c r="W2" s="49"/>
      <c r="X2" s="49"/>
      <c r="Y2" s="46"/>
    </row>
    <row r="3" spans="2:25" ht="21.75" customHeight="1">
      <c r="B3" s="41"/>
      <c r="C3" s="42"/>
      <c r="D3" s="42"/>
      <c r="E3" s="42"/>
      <c r="F3" s="42"/>
      <c r="G3" s="42"/>
      <c r="H3" s="42"/>
      <c r="I3" s="92" t="s">
        <v>44</v>
      </c>
      <c r="J3" s="42"/>
      <c r="K3" s="42"/>
      <c r="L3" s="43"/>
      <c r="M3" s="1"/>
      <c r="N3" s="97"/>
      <c r="O3" s="98"/>
      <c r="P3" s="98"/>
      <c r="Q3" s="98"/>
      <c r="R3" s="98"/>
      <c r="S3" s="98"/>
      <c r="T3" s="98"/>
      <c r="U3" s="99"/>
      <c r="V3" s="49"/>
      <c r="W3" s="49"/>
      <c r="X3" s="49"/>
      <c r="Y3" s="46"/>
    </row>
    <row r="4" spans="2:25" ht="16.5" customHeight="1">
      <c r="B4" s="2"/>
      <c r="C4" s="3"/>
      <c r="D4" s="3"/>
      <c r="E4" s="81" t="s">
        <v>30</v>
      </c>
      <c r="F4" s="124"/>
      <c r="G4" s="125"/>
      <c r="H4" s="125"/>
      <c r="I4" s="125"/>
      <c r="J4" s="3"/>
      <c r="K4" s="3"/>
      <c r="L4" s="4"/>
      <c r="M4" s="1"/>
      <c r="N4" s="64"/>
      <c r="O4" s="3"/>
      <c r="P4" s="3"/>
      <c r="Q4" s="3"/>
      <c r="R4" s="3"/>
      <c r="S4" s="3"/>
      <c r="T4" s="3"/>
      <c r="U4" s="65"/>
      <c r="V4" s="46"/>
      <c r="W4" s="46"/>
      <c r="X4" s="46"/>
      <c r="Y4" s="46"/>
    </row>
    <row r="5" spans="2:25" ht="6.9" customHeight="1">
      <c r="B5" s="2"/>
      <c r="C5" s="3"/>
      <c r="D5" s="3"/>
      <c r="E5" s="81"/>
      <c r="F5" s="5"/>
      <c r="G5" s="5"/>
      <c r="H5" s="5"/>
      <c r="I5" s="5"/>
      <c r="J5" s="3"/>
      <c r="K5" s="3"/>
      <c r="L5" s="4"/>
      <c r="M5" s="1"/>
      <c r="N5" s="64"/>
      <c r="O5" s="3"/>
      <c r="P5" s="3"/>
      <c r="Q5" s="3"/>
      <c r="R5" s="3"/>
      <c r="S5" s="3"/>
      <c r="T5" s="3"/>
      <c r="U5" s="65"/>
      <c r="V5" s="46"/>
      <c r="W5" s="46"/>
      <c r="X5" s="46"/>
      <c r="Y5" s="46"/>
    </row>
    <row r="6" spans="2:25" ht="15.9" customHeight="1">
      <c r="B6" s="128" t="s">
        <v>38</v>
      </c>
      <c r="C6" s="129"/>
      <c r="D6" s="129"/>
      <c r="E6" s="62" t="s">
        <v>29</v>
      </c>
      <c r="F6" s="126"/>
      <c r="G6" s="127"/>
      <c r="H6" s="127"/>
      <c r="I6" s="127"/>
      <c r="K6" s="3"/>
      <c r="L6" s="4"/>
      <c r="M6" s="1"/>
      <c r="N6" s="64"/>
      <c r="O6" s="3"/>
      <c r="P6" s="32"/>
      <c r="Q6" s="32"/>
      <c r="R6" s="32"/>
      <c r="S6" s="35" t="s">
        <v>13</v>
      </c>
      <c r="T6" s="27">
        <f>IFERROR(H55*(1+H8/100),0)</f>
        <v>0</v>
      </c>
      <c r="U6" s="66"/>
      <c r="V6" s="50"/>
      <c r="W6" s="46"/>
      <c r="X6" s="46"/>
      <c r="Y6" s="46"/>
    </row>
    <row r="7" spans="2:25" ht="8.1" customHeight="1">
      <c r="B7" s="2"/>
      <c r="C7" s="3"/>
      <c r="D7" s="62"/>
      <c r="E7" s="62"/>
      <c r="F7" s="63"/>
      <c r="G7" s="63"/>
      <c r="H7" s="63"/>
      <c r="I7" s="63"/>
      <c r="K7" s="3"/>
      <c r="L7" s="4"/>
      <c r="M7" s="1"/>
      <c r="N7" s="64"/>
      <c r="O7" s="3"/>
      <c r="P7" s="32"/>
      <c r="Q7" s="32"/>
      <c r="R7" s="32"/>
      <c r="S7" s="35"/>
      <c r="T7" s="27"/>
      <c r="U7" s="66"/>
      <c r="V7" s="50"/>
      <c r="W7" s="46"/>
      <c r="X7" s="46"/>
      <c r="Y7" s="46"/>
    </row>
    <row r="8" spans="2:25" ht="16.5" customHeight="1">
      <c r="B8" s="2"/>
      <c r="C8" s="3"/>
      <c r="D8" s="103" t="s">
        <v>31</v>
      </c>
      <c r="E8" s="103"/>
      <c r="F8" s="103"/>
      <c r="G8" s="123"/>
      <c r="H8" s="120">
        <v>50</v>
      </c>
      <c r="I8" s="121"/>
      <c r="J8" s="121"/>
      <c r="K8" s="3"/>
      <c r="L8" s="4"/>
      <c r="M8" s="1"/>
      <c r="N8" s="64"/>
      <c r="O8" s="3"/>
      <c r="P8" s="3"/>
      <c r="Q8" s="3"/>
      <c r="R8" s="3"/>
      <c r="S8" s="3"/>
      <c r="T8" s="81"/>
      <c r="U8" s="67"/>
      <c r="V8" s="51"/>
      <c r="W8" s="46"/>
      <c r="X8" s="46"/>
      <c r="Y8" s="46"/>
    </row>
    <row r="9" spans="2:25" ht="16.5" customHeight="1">
      <c r="B9" s="2"/>
      <c r="C9" s="3"/>
      <c r="D9" s="3"/>
      <c r="E9" s="3"/>
      <c r="F9" s="6"/>
      <c r="G9" s="45" t="s">
        <v>0</v>
      </c>
      <c r="H9" s="122"/>
      <c r="I9" s="122"/>
      <c r="J9" s="122"/>
      <c r="K9" s="3"/>
      <c r="L9" s="4"/>
      <c r="M9" s="1"/>
      <c r="N9" s="64"/>
      <c r="O9" s="3"/>
      <c r="P9" s="8"/>
      <c r="Q9" s="8"/>
      <c r="R9" s="8"/>
      <c r="S9" s="80" t="s">
        <v>21</v>
      </c>
      <c r="T9" s="29">
        <f>H14</f>
        <v>0</v>
      </c>
      <c r="U9" s="68"/>
      <c r="V9" s="52"/>
      <c r="W9" s="46"/>
      <c r="X9" s="46"/>
      <c r="Y9" s="46"/>
    </row>
    <row r="10" spans="2:25" ht="5.25" customHeight="1">
      <c r="B10" s="2"/>
      <c r="C10" s="3"/>
      <c r="D10" s="3"/>
      <c r="E10" s="3"/>
      <c r="F10" s="3"/>
      <c r="G10" s="3"/>
      <c r="H10" s="3"/>
      <c r="I10" s="3"/>
      <c r="J10" s="3"/>
      <c r="K10" s="3"/>
      <c r="L10" s="4"/>
      <c r="M10" s="1"/>
      <c r="N10" s="64"/>
      <c r="O10" s="3"/>
      <c r="P10" s="3"/>
      <c r="Q10" s="3"/>
      <c r="R10" s="3"/>
      <c r="S10" s="3"/>
      <c r="T10" s="81"/>
      <c r="U10" s="67"/>
      <c r="V10" s="51"/>
      <c r="W10" s="46"/>
      <c r="X10" s="46"/>
      <c r="Y10" s="46"/>
    </row>
    <row r="11" spans="2:25" ht="16.5" customHeight="1">
      <c r="B11" s="2"/>
      <c r="C11" s="3"/>
      <c r="D11" s="3"/>
      <c r="E11" s="3"/>
      <c r="F11" s="81"/>
      <c r="G11" s="7" t="s">
        <v>1</v>
      </c>
      <c r="H11" s="104"/>
      <c r="I11" s="105"/>
      <c r="J11" s="106"/>
      <c r="K11" s="3"/>
      <c r="L11" s="4"/>
      <c r="M11" s="1"/>
      <c r="N11" s="64"/>
      <c r="O11" s="3"/>
      <c r="P11" s="101" t="s">
        <v>22</v>
      </c>
      <c r="Q11" s="101"/>
      <c r="R11" s="101"/>
      <c r="S11" s="101"/>
      <c r="T11" s="29">
        <f>IF(B17=TRUE, ((T6+T9)*H17%),(T6*H17%))</f>
        <v>0</v>
      </c>
      <c r="U11" s="68"/>
      <c r="V11" s="52"/>
      <c r="W11" s="46"/>
      <c r="X11" s="46"/>
      <c r="Y11" s="46"/>
    </row>
    <row r="12" spans="2:25" ht="13.5" customHeight="1">
      <c r="B12" s="2"/>
      <c r="C12" s="3"/>
      <c r="D12" s="3"/>
      <c r="E12" s="3"/>
      <c r="F12" s="6"/>
      <c r="G12" s="9" t="s">
        <v>27</v>
      </c>
      <c r="H12" s="3"/>
      <c r="I12" s="3"/>
      <c r="J12" s="3"/>
      <c r="K12" s="3"/>
      <c r="L12" s="4"/>
      <c r="M12" s="1"/>
      <c r="N12" s="64"/>
      <c r="O12" s="3"/>
      <c r="P12" s="3"/>
      <c r="Q12" s="3"/>
      <c r="R12" s="3"/>
      <c r="S12" s="7"/>
      <c r="T12" s="3"/>
      <c r="U12" s="65"/>
      <c r="V12" s="46"/>
      <c r="W12" s="46"/>
      <c r="X12" s="46"/>
      <c r="Y12" s="46"/>
    </row>
    <row r="13" spans="2:25" ht="5.25" customHeight="1">
      <c r="B13" s="2"/>
      <c r="C13" s="3"/>
      <c r="D13" s="3"/>
      <c r="E13" s="3"/>
      <c r="F13" s="3"/>
      <c r="G13" s="3"/>
      <c r="H13" s="3"/>
      <c r="I13" s="3"/>
      <c r="J13" s="3"/>
      <c r="K13" s="3"/>
      <c r="L13" s="4"/>
      <c r="M13" s="1"/>
      <c r="N13" s="64"/>
      <c r="O13" s="3"/>
      <c r="P13" s="3"/>
      <c r="Q13" s="3"/>
      <c r="R13" s="3"/>
      <c r="S13" s="3"/>
      <c r="T13" s="3"/>
      <c r="U13" s="65"/>
      <c r="V13" s="46"/>
      <c r="W13" s="46"/>
      <c r="X13" s="46"/>
      <c r="Y13" s="46"/>
    </row>
    <row r="14" spans="2:25" ht="16.5" customHeight="1">
      <c r="B14" s="2"/>
      <c r="C14" s="3"/>
      <c r="D14" s="3"/>
      <c r="E14" s="3"/>
      <c r="F14" s="81"/>
      <c r="G14" s="7" t="s">
        <v>2</v>
      </c>
      <c r="H14" s="104"/>
      <c r="I14" s="105"/>
      <c r="J14" s="106"/>
      <c r="K14" s="3"/>
      <c r="L14" s="4"/>
      <c r="M14" s="1"/>
      <c r="N14" s="64"/>
      <c r="O14" s="30"/>
      <c r="P14" s="30"/>
      <c r="Q14" s="30"/>
      <c r="R14" s="30"/>
      <c r="S14" s="31" t="s">
        <v>28</v>
      </c>
      <c r="T14" s="27">
        <f>SUM(T6:T11)</f>
        <v>0</v>
      </c>
      <c r="U14" s="69"/>
      <c r="V14" s="53"/>
      <c r="W14" s="46"/>
      <c r="X14" s="46"/>
      <c r="Y14" s="46"/>
    </row>
    <row r="15" spans="2:25" ht="13.5" customHeight="1">
      <c r="B15" s="2"/>
      <c r="C15" s="3"/>
      <c r="D15" s="3"/>
      <c r="E15" s="3"/>
      <c r="F15" s="6"/>
      <c r="G15" s="9" t="s">
        <v>3</v>
      </c>
      <c r="H15" s="3"/>
      <c r="I15" s="3"/>
      <c r="J15" s="3"/>
      <c r="K15" s="3"/>
      <c r="L15" s="4"/>
      <c r="M15" s="1"/>
      <c r="N15" s="64"/>
      <c r="O15" s="3"/>
      <c r="P15" s="3"/>
      <c r="Q15" s="3"/>
      <c r="R15" s="3"/>
      <c r="S15" s="3"/>
      <c r="T15" s="3"/>
      <c r="U15" s="65"/>
      <c r="V15" s="46"/>
      <c r="W15" s="46"/>
      <c r="X15" s="46"/>
      <c r="Y15" s="46"/>
    </row>
    <row r="16" spans="2:25" ht="5.25" customHeight="1">
      <c r="B16" s="2"/>
      <c r="C16" s="3"/>
      <c r="D16" s="3"/>
      <c r="E16" s="3"/>
      <c r="F16" s="3"/>
      <c r="G16" s="3"/>
      <c r="H16" s="3"/>
      <c r="I16" s="3"/>
      <c r="J16" s="3"/>
      <c r="K16" s="3"/>
      <c r="L16" s="4"/>
      <c r="M16" s="1"/>
      <c r="N16" s="64"/>
      <c r="O16" s="28"/>
      <c r="P16" s="28"/>
      <c r="Q16" s="28"/>
      <c r="R16" s="28"/>
      <c r="S16" s="28"/>
      <c r="T16" s="28"/>
      <c r="U16" s="65"/>
      <c r="V16" s="46"/>
      <c r="W16" s="46"/>
      <c r="X16" s="46"/>
      <c r="Y16" s="46"/>
    </row>
    <row r="17" spans="2:25" ht="16.5" customHeight="1">
      <c r="B17" s="88" t="b">
        <v>0</v>
      </c>
      <c r="C17" s="3"/>
      <c r="D17" s="3"/>
      <c r="E17" s="3"/>
      <c r="F17" s="81"/>
      <c r="G17" s="7" t="s">
        <v>4</v>
      </c>
      <c r="H17" s="104">
        <v>0</v>
      </c>
      <c r="I17" s="105"/>
      <c r="J17" s="106"/>
      <c r="K17" s="3"/>
      <c r="L17" s="4"/>
      <c r="M17" s="1"/>
      <c r="N17" s="64"/>
      <c r="O17" s="102" t="s">
        <v>42</v>
      </c>
      <c r="P17" s="102"/>
      <c r="Q17" s="102"/>
      <c r="R17" s="102"/>
      <c r="S17" s="102"/>
      <c r="T17" s="102"/>
      <c r="U17" s="69"/>
      <c r="V17" s="53"/>
      <c r="W17" s="46"/>
      <c r="X17" s="46"/>
      <c r="Y17" s="46"/>
    </row>
    <row r="18" spans="2:25" ht="5.25" customHeight="1">
      <c r="B18" s="2"/>
      <c r="C18" s="3"/>
      <c r="D18" s="3"/>
      <c r="E18" s="3"/>
      <c r="F18" s="3"/>
      <c r="G18" s="3"/>
      <c r="H18" s="3"/>
      <c r="I18" s="3"/>
      <c r="J18" s="3"/>
      <c r="K18" s="3"/>
      <c r="L18" s="4"/>
      <c r="M18" s="1"/>
      <c r="N18" s="64"/>
      <c r="O18" s="3"/>
      <c r="P18" s="60"/>
      <c r="Q18" s="60"/>
      <c r="R18" s="60"/>
      <c r="S18" s="60"/>
      <c r="T18" s="60"/>
      <c r="U18" s="70"/>
      <c r="V18" s="46"/>
      <c r="W18" s="46"/>
      <c r="X18" s="46"/>
      <c r="Y18" s="46"/>
    </row>
    <row r="19" spans="2:25" ht="16.5" customHeight="1">
      <c r="B19" s="2"/>
      <c r="C19" s="3"/>
      <c r="D19" s="3"/>
      <c r="E19" s="10" t="s">
        <v>5</v>
      </c>
      <c r="F19" s="3"/>
      <c r="G19" s="3"/>
      <c r="H19" s="3"/>
      <c r="I19" s="3"/>
      <c r="J19" s="3"/>
      <c r="K19" s="3"/>
      <c r="L19" s="4"/>
      <c r="M19" s="1"/>
      <c r="N19" s="64"/>
      <c r="O19" s="3"/>
      <c r="P19" s="3"/>
      <c r="Q19" s="103" t="s">
        <v>12</v>
      </c>
      <c r="R19" s="103"/>
      <c r="S19" s="103"/>
      <c r="T19" s="47">
        <f>IF(T6=0,0,SUM(T6*G23%)+G25)</f>
        <v>0</v>
      </c>
      <c r="U19" s="71"/>
      <c r="V19" s="54"/>
      <c r="W19" s="46"/>
      <c r="X19" s="46"/>
      <c r="Y19" s="46"/>
    </row>
    <row r="20" spans="2:25" ht="16.5" customHeight="1">
      <c r="B20" s="2"/>
      <c r="C20" s="3"/>
      <c r="D20" s="3"/>
      <c r="E20" s="3"/>
      <c r="F20" s="3"/>
      <c r="G20" s="3"/>
      <c r="H20" s="3"/>
      <c r="I20" s="3"/>
      <c r="J20" s="3"/>
      <c r="K20" s="3"/>
      <c r="L20" s="4"/>
      <c r="M20" s="1"/>
      <c r="N20" s="64"/>
      <c r="O20" s="3"/>
      <c r="P20" s="3"/>
      <c r="Q20" s="103" t="s">
        <v>23</v>
      </c>
      <c r="R20" s="103"/>
      <c r="S20" s="103"/>
      <c r="T20" s="26">
        <f>IF(T6=0,0,SUM(T6*G29%)+G31)</f>
        <v>0</v>
      </c>
      <c r="U20" s="65"/>
      <c r="V20" s="46"/>
      <c r="W20" s="46"/>
      <c r="X20" s="46"/>
      <c r="Y20" s="46"/>
    </row>
    <row r="21" spans="2:25" ht="18" customHeight="1" thickBot="1">
      <c r="B21" s="2"/>
      <c r="C21" s="3"/>
      <c r="D21" s="116" t="s">
        <v>8</v>
      </c>
      <c r="E21" s="116"/>
      <c r="F21" s="116"/>
      <c r="G21" s="116"/>
      <c r="H21" s="116"/>
      <c r="I21" s="116"/>
      <c r="J21" s="116"/>
      <c r="K21" s="3"/>
      <c r="L21" s="4"/>
      <c r="M21" s="1"/>
      <c r="N21" s="64"/>
      <c r="O21" s="89"/>
      <c r="P21" s="89"/>
      <c r="Q21" s="89"/>
      <c r="R21" s="89"/>
      <c r="S21" s="90"/>
      <c r="T21" s="91"/>
      <c r="U21" s="65"/>
      <c r="V21" s="46"/>
      <c r="W21" s="46"/>
      <c r="X21" s="46"/>
      <c r="Y21" s="46"/>
    </row>
    <row r="22" spans="2:25" ht="9.75" customHeight="1" thickTop="1">
      <c r="B22" s="2"/>
      <c r="C22" s="11"/>
      <c r="D22" s="116"/>
      <c r="E22" s="116"/>
      <c r="F22" s="116"/>
      <c r="G22" s="116"/>
      <c r="H22" s="116"/>
      <c r="I22" s="116"/>
      <c r="J22" s="116"/>
      <c r="K22" s="12"/>
      <c r="L22" s="4"/>
      <c r="M22" s="1"/>
      <c r="N22" s="64"/>
      <c r="O22" s="3"/>
      <c r="P22" s="3"/>
      <c r="Q22" s="3"/>
      <c r="R22" s="60"/>
      <c r="S22" s="60"/>
      <c r="T22" s="60"/>
      <c r="U22" s="65"/>
      <c r="V22" s="46"/>
      <c r="W22" s="46"/>
      <c r="X22" s="46"/>
      <c r="Y22" s="46"/>
    </row>
    <row r="23" spans="2:25" ht="16.5" customHeight="1">
      <c r="B23" s="2"/>
      <c r="C23" s="13"/>
      <c r="D23" s="3"/>
      <c r="E23" s="3"/>
      <c r="F23" s="7" t="s">
        <v>6</v>
      </c>
      <c r="G23" s="113">
        <v>0</v>
      </c>
      <c r="H23" s="114"/>
      <c r="I23" s="115"/>
      <c r="J23" s="3"/>
      <c r="K23" s="14"/>
      <c r="L23" s="4"/>
      <c r="M23" s="1"/>
      <c r="N23" s="64"/>
      <c r="O23" s="30"/>
      <c r="P23" s="30"/>
      <c r="Q23" s="36"/>
      <c r="R23" s="36"/>
      <c r="S23" s="37" t="s">
        <v>24</v>
      </c>
      <c r="T23" s="38">
        <f>IFERROR(SUM(T6+T9)-SUM(T19+T20),0)</f>
        <v>0</v>
      </c>
      <c r="U23" s="71"/>
      <c r="V23" s="54"/>
      <c r="W23" s="46"/>
      <c r="X23" s="46"/>
      <c r="Y23" s="46"/>
    </row>
    <row r="24" spans="2:25" ht="5.25" customHeight="1">
      <c r="B24" s="2"/>
      <c r="C24" s="13"/>
      <c r="D24" s="3"/>
      <c r="E24" s="3"/>
      <c r="F24" s="3"/>
      <c r="G24" s="3"/>
      <c r="H24" s="3"/>
      <c r="I24" s="3"/>
      <c r="J24" s="3"/>
      <c r="K24" s="14"/>
      <c r="L24" s="4"/>
      <c r="M24" s="1"/>
      <c r="N24" s="64"/>
      <c r="O24" s="30"/>
      <c r="P24" s="30"/>
      <c r="Q24" s="36"/>
      <c r="R24" s="36"/>
      <c r="S24" s="36"/>
      <c r="T24" s="36"/>
      <c r="U24" s="65"/>
      <c r="V24" s="46"/>
      <c r="W24" s="46"/>
      <c r="X24" s="46"/>
      <c r="Y24" s="46"/>
    </row>
    <row r="25" spans="2:25" ht="16.5" customHeight="1">
      <c r="B25" s="2"/>
      <c r="C25" s="13"/>
      <c r="D25" s="3"/>
      <c r="E25" s="3"/>
      <c r="F25" s="7" t="s">
        <v>7</v>
      </c>
      <c r="G25" s="110">
        <v>0</v>
      </c>
      <c r="H25" s="111"/>
      <c r="I25" s="112"/>
      <c r="J25" s="3"/>
      <c r="K25" s="14"/>
      <c r="L25" s="4"/>
      <c r="M25" s="1"/>
      <c r="N25" s="64"/>
      <c r="O25" s="30"/>
      <c r="P25" s="30"/>
      <c r="Q25" s="36"/>
      <c r="R25" s="36"/>
      <c r="S25" s="37" t="s">
        <v>26</v>
      </c>
      <c r="T25" s="38">
        <f>IFERROR(T23-H55,0)</f>
        <v>0</v>
      </c>
      <c r="U25" s="72"/>
      <c r="V25" s="55"/>
      <c r="W25" s="46"/>
      <c r="X25" s="46"/>
      <c r="Y25" s="46"/>
    </row>
    <row r="26" spans="2:25" ht="6.75" customHeight="1">
      <c r="B26" s="2"/>
      <c r="C26" s="15"/>
      <c r="D26" s="16"/>
      <c r="E26" s="16"/>
      <c r="F26" s="16"/>
      <c r="G26" s="16"/>
      <c r="H26" s="16"/>
      <c r="I26" s="16"/>
      <c r="J26" s="16"/>
      <c r="K26" s="17"/>
      <c r="L26" s="4"/>
      <c r="M26" s="1"/>
      <c r="N26" s="64"/>
      <c r="O26" s="30"/>
      <c r="P26" s="30"/>
      <c r="Q26" s="30"/>
      <c r="R26" s="30"/>
      <c r="S26" s="30"/>
      <c r="T26" s="30"/>
      <c r="U26" s="65"/>
      <c r="V26" s="46"/>
      <c r="W26" s="46"/>
      <c r="X26" s="46"/>
      <c r="Y26" s="46"/>
    </row>
    <row r="27" spans="2:25" ht="12" customHeight="1">
      <c r="B27" s="2"/>
      <c r="C27" s="3"/>
      <c r="D27" s="116" t="s">
        <v>9</v>
      </c>
      <c r="E27" s="116"/>
      <c r="F27" s="116"/>
      <c r="G27" s="116"/>
      <c r="H27" s="116"/>
      <c r="I27" s="116"/>
      <c r="J27" s="116"/>
      <c r="K27" s="3"/>
      <c r="L27" s="4"/>
      <c r="M27" s="1"/>
      <c r="N27" s="64"/>
      <c r="O27" s="30"/>
      <c r="P27" s="30"/>
      <c r="Q27" s="30"/>
      <c r="R27" s="30"/>
      <c r="S27" s="33" t="s">
        <v>25</v>
      </c>
      <c r="T27" s="34">
        <f>IFERROR(T25/T23,0)</f>
        <v>0</v>
      </c>
      <c r="U27" s="65"/>
      <c r="V27" s="46"/>
      <c r="W27" s="46"/>
      <c r="X27" s="46"/>
      <c r="Y27" s="46"/>
    </row>
    <row r="28" spans="2:25" ht="9.75" customHeight="1">
      <c r="B28" s="2"/>
      <c r="C28" s="11"/>
      <c r="D28" s="116"/>
      <c r="E28" s="116"/>
      <c r="F28" s="116"/>
      <c r="G28" s="116"/>
      <c r="H28" s="116"/>
      <c r="I28" s="116"/>
      <c r="J28" s="116"/>
      <c r="K28" s="12"/>
      <c r="L28" s="4"/>
      <c r="M28" s="1"/>
      <c r="N28" s="64"/>
      <c r="O28" s="30"/>
      <c r="P28" s="30"/>
      <c r="Q28" s="30"/>
      <c r="R28" s="30"/>
      <c r="S28" s="61"/>
      <c r="T28" s="61"/>
      <c r="U28" s="65"/>
      <c r="V28" s="46"/>
      <c r="W28" s="46"/>
      <c r="X28" s="46"/>
      <c r="Y28" s="46"/>
    </row>
    <row r="29" spans="2:25" ht="16.5" customHeight="1">
      <c r="B29" s="2"/>
      <c r="C29" s="13"/>
      <c r="D29" s="3"/>
      <c r="E29" s="3"/>
      <c r="F29" s="7" t="s">
        <v>6</v>
      </c>
      <c r="G29" s="113">
        <v>0</v>
      </c>
      <c r="H29" s="114"/>
      <c r="I29" s="115"/>
      <c r="J29" s="3"/>
      <c r="K29" s="14"/>
      <c r="L29" s="4"/>
      <c r="M29" s="1"/>
      <c r="N29" s="64"/>
      <c r="O29" s="3"/>
      <c r="P29" s="3"/>
      <c r="Q29" s="60"/>
      <c r="R29" s="60"/>
      <c r="S29" s="60"/>
      <c r="T29" s="60"/>
      <c r="U29" s="73"/>
      <c r="V29" s="56"/>
      <c r="W29" s="46"/>
      <c r="X29" s="46"/>
      <c r="Y29" s="46"/>
    </row>
    <row r="30" spans="2:25" ht="5.25" customHeight="1">
      <c r="B30" s="2"/>
      <c r="C30" s="13"/>
      <c r="D30" s="3"/>
      <c r="E30" s="3"/>
      <c r="F30" s="3"/>
      <c r="G30" s="3"/>
      <c r="H30" s="3"/>
      <c r="I30" s="3"/>
      <c r="J30" s="3"/>
      <c r="K30" s="14"/>
      <c r="L30" s="4"/>
      <c r="M30" s="1"/>
      <c r="N30" s="64"/>
      <c r="O30" s="3"/>
      <c r="P30" s="3"/>
      <c r="Q30" s="60"/>
      <c r="R30" s="60"/>
      <c r="S30" s="60"/>
      <c r="T30" s="60"/>
      <c r="U30" s="65"/>
      <c r="V30" s="46"/>
      <c r="W30" s="46"/>
      <c r="X30" s="46"/>
      <c r="Y30" s="46"/>
    </row>
    <row r="31" spans="2:25" ht="16.5" customHeight="1">
      <c r="B31" s="2"/>
      <c r="C31" s="13"/>
      <c r="D31" s="3"/>
      <c r="E31" s="3"/>
      <c r="F31" s="7" t="s">
        <v>7</v>
      </c>
      <c r="G31" s="110">
        <v>0</v>
      </c>
      <c r="H31" s="111"/>
      <c r="I31" s="112"/>
      <c r="J31" s="3"/>
      <c r="K31" s="14"/>
      <c r="L31" s="4"/>
      <c r="M31" s="1"/>
      <c r="N31" s="64"/>
      <c r="O31" s="100" t="s">
        <v>15</v>
      </c>
      <c r="P31" s="100"/>
      <c r="Q31" s="100"/>
      <c r="R31" s="100"/>
      <c r="S31" s="100"/>
      <c r="T31" s="100"/>
      <c r="U31" s="74"/>
      <c r="V31" s="57"/>
      <c r="W31" s="46"/>
      <c r="X31" s="46"/>
      <c r="Y31" s="46"/>
    </row>
    <row r="32" spans="2:25" ht="6.75" customHeight="1">
      <c r="B32" s="2"/>
      <c r="C32" s="15"/>
      <c r="D32" s="16"/>
      <c r="E32" s="16"/>
      <c r="F32" s="16"/>
      <c r="G32" s="16"/>
      <c r="H32" s="16"/>
      <c r="I32" s="16"/>
      <c r="J32" s="16"/>
      <c r="K32" s="17"/>
      <c r="L32" s="4"/>
      <c r="M32" s="1"/>
      <c r="N32" s="64"/>
      <c r="O32" s="3"/>
      <c r="P32" s="3"/>
      <c r="Q32" s="60"/>
      <c r="R32" s="60"/>
      <c r="S32" s="60"/>
      <c r="T32" s="60"/>
      <c r="U32" s="65"/>
      <c r="V32" s="46"/>
      <c r="W32" s="46"/>
      <c r="X32" s="46"/>
      <c r="Y32" s="46"/>
    </row>
    <row r="33" spans="2:25" ht="7.5" customHeight="1" thickBot="1">
      <c r="B33" s="2"/>
      <c r="C33" s="18"/>
      <c r="D33" s="18"/>
      <c r="E33" s="18"/>
      <c r="F33" s="18"/>
      <c r="G33" s="18"/>
      <c r="H33" s="18"/>
      <c r="I33" s="18"/>
      <c r="J33" s="18"/>
      <c r="K33" s="18"/>
      <c r="L33" s="4"/>
      <c r="M33" s="1"/>
      <c r="N33" s="64"/>
      <c r="O33" s="3"/>
      <c r="P33" s="3"/>
      <c r="Q33" s="60"/>
      <c r="R33" s="60"/>
      <c r="S33" s="60"/>
      <c r="T33" s="60"/>
      <c r="U33" s="65"/>
      <c r="V33" s="46"/>
      <c r="W33" s="46"/>
      <c r="X33" s="46"/>
      <c r="Y33" s="46"/>
    </row>
    <row r="34" spans="2:25" ht="15.75" customHeight="1">
      <c r="B34" s="2"/>
      <c r="C34" s="3"/>
      <c r="D34" s="3"/>
      <c r="E34" s="3"/>
      <c r="F34" s="3"/>
      <c r="G34" s="3"/>
      <c r="H34" s="3"/>
      <c r="I34" s="3"/>
      <c r="J34" s="3"/>
      <c r="K34" s="3"/>
      <c r="L34" s="4"/>
      <c r="M34" s="1"/>
      <c r="N34" s="64"/>
      <c r="O34" s="93" t="s">
        <v>39</v>
      </c>
      <c r="P34" s="93"/>
      <c r="Q34" s="93"/>
      <c r="R34" s="93"/>
      <c r="S34" s="93"/>
      <c r="T34" s="93"/>
      <c r="U34" s="65"/>
      <c r="V34" s="46"/>
      <c r="W34" s="46"/>
      <c r="X34" s="46"/>
      <c r="Y34" s="46"/>
    </row>
    <row r="35" spans="2:25" ht="15.75" customHeight="1">
      <c r="B35" s="2"/>
      <c r="C35" s="3"/>
      <c r="D35" s="22" t="s">
        <v>14</v>
      </c>
      <c r="E35" s="3"/>
      <c r="F35" s="3"/>
      <c r="G35" s="3"/>
      <c r="H35" s="3"/>
      <c r="I35" s="3"/>
      <c r="J35" s="3"/>
      <c r="K35" s="3"/>
      <c r="L35" s="4"/>
      <c r="M35" s="1"/>
      <c r="N35" s="64"/>
      <c r="O35" s="93"/>
      <c r="P35" s="93"/>
      <c r="Q35" s="93"/>
      <c r="R35" s="93"/>
      <c r="S35" s="93"/>
      <c r="T35" s="93"/>
      <c r="U35" s="65"/>
      <c r="V35" s="46"/>
      <c r="W35" s="46"/>
      <c r="X35" s="46"/>
      <c r="Y35" s="46"/>
    </row>
    <row r="36" spans="2:25" ht="16.5" customHeight="1">
      <c r="B36" s="2"/>
      <c r="C36" s="3"/>
      <c r="D36" s="3"/>
      <c r="E36" s="3"/>
      <c r="F36" s="81"/>
      <c r="G36" s="7" t="s">
        <v>17</v>
      </c>
      <c r="H36" s="107">
        <v>35</v>
      </c>
      <c r="I36" s="108"/>
      <c r="J36" s="109"/>
      <c r="K36" s="3"/>
      <c r="L36" s="4"/>
      <c r="M36" s="1"/>
      <c r="N36" s="64"/>
      <c r="O36" s="93"/>
      <c r="P36" s="93"/>
      <c r="Q36" s="93"/>
      <c r="R36" s="93"/>
      <c r="S36" s="93"/>
      <c r="T36" s="93"/>
      <c r="U36" s="65"/>
      <c r="V36" s="46"/>
      <c r="W36" s="46"/>
      <c r="X36" s="46"/>
      <c r="Y36" s="46"/>
    </row>
    <row r="37" spans="2:25" ht="5.25" customHeight="1">
      <c r="B37" s="2"/>
      <c r="C37" s="3"/>
      <c r="D37" s="3"/>
      <c r="E37" s="3"/>
      <c r="F37" s="3"/>
      <c r="G37" s="3"/>
      <c r="H37" s="81"/>
      <c r="I37" s="81"/>
      <c r="J37" s="81"/>
      <c r="K37" s="3"/>
      <c r="L37" s="4"/>
      <c r="M37" s="1"/>
      <c r="N37" s="64"/>
      <c r="O37" s="93"/>
      <c r="P37" s="93"/>
      <c r="Q37" s="93"/>
      <c r="R37" s="93"/>
      <c r="S37" s="93"/>
      <c r="T37" s="93"/>
      <c r="U37" s="65"/>
      <c r="V37" s="46"/>
      <c r="W37" s="46"/>
      <c r="X37" s="46"/>
      <c r="Y37" s="46"/>
    </row>
    <row r="38" spans="2:25" ht="16.5" customHeight="1">
      <c r="B38" s="2"/>
      <c r="C38" s="3"/>
      <c r="D38" s="3"/>
      <c r="E38" s="3"/>
      <c r="F38" s="81"/>
      <c r="G38" s="7" t="s">
        <v>16</v>
      </c>
      <c r="H38" s="107"/>
      <c r="I38" s="108"/>
      <c r="J38" s="109"/>
      <c r="K38" s="3"/>
      <c r="L38" s="4"/>
      <c r="M38" s="1"/>
      <c r="N38" s="64"/>
      <c r="O38" s="93"/>
      <c r="P38" s="93"/>
      <c r="Q38" s="93"/>
      <c r="R38" s="93"/>
      <c r="S38" s="93"/>
      <c r="T38" s="93"/>
      <c r="U38" s="65"/>
      <c r="V38" s="46"/>
      <c r="W38" s="46"/>
      <c r="X38" s="46"/>
      <c r="Y38" s="46"/>
    </row>
    <row r="39" spans="2:25" ht="5.25" customHeight="1">
      <c r="B39" s="2"/>
      <c r="C39" s="3"/>
      <c r="D39" s="3"/>
      <c r="E39" s="3"/>
      <c r="F39" s="3"/>
      <c r="G39" s="3"/>
      <c r="H39" s="81"/>
      <c r="I39" s="81"/>
      <c r="J39" s="81"/>
      <c r="K39" s="3"/>
      <c r="L39" s="4"/>
      <c r="M39" s="1"/>
      <c r="N39" s="64"/>
      <c r="O39" s="93"/>
      <c r="P39" s="93"/>
      <c r="Q39" s="93"/>
      <c r="R39" s="93"/>
      <c r="S39" s="93"/>
      <c r="T39" s="93"/>
      <c r="U39" s="65"/>
      <c r="V39" s="46"/>
      <c r="W39" s="46"/>
      <c r="X39" s="46"/>
      <c r="Y39" s="46"/>
    </row>
    <row r="40" spans="2:25" ht="16.5" customHeight="1">
      <c r="B40" s="2"/>
      <c r="C40" s="3"/>
      <c r="D40" s="3"/>
      <c r="E40" s="3"/>
      <c r="F40" s="81"/>
      <c r="G40" s="7" t="s">
        <v>18</v>
      </c>
      <c r="H40" s="107"/>
      <c r="I40" s="108"/>
      <c r="J40" s="109"/>
      <c r="K40" s="3"/>
      <c r="L40" s="4"/>
      <c r="M40" s="1"/>
      <c r="N40" s="64"/>
      <c r="O40" s="93"/>
      <c r="P40" s="93"/>
      <c r="Q40" s="93"/>
      <c r="R40" s="93"/>
      <c r="S40" s="93"/>
      <c r="T40" s="93"/>
      <c r="U40" s="65"/>
      <c r="V40" s="46"/>
      <c r="W40" s="46"/>
      <c r="X40" s="46"/>
      <c r="Y40" s="46"/>
    </row>
    <row r="41" spans="2:25" ht="5.25" customHeight="1">
      <c r="B41" s="2"/>
      <c r="C41" s="3"/>
      <c r="D41" s="3"/>
      <c r="E41" s="3"/>
      <c r="F41" s="3"/>
      <c r="G41" s="3"/>
      <c r="H41" s="82"/>
      <c r="I41" s="82"/>
      <c r="J41" s="82"/>
      <c r="K41" s="3"/>
      <c r="L41" s="4"/>
      <c r="M41" s="1"/>
      <c r="N41" s="64"/>
      <c r="O41" s="93" t="s">
        <v>35</v>
      </c>
      <c r="P41" s="93"/>
      <c r="Q41" s="93"/>
      <c r="R41" s="93"/>
      <c r="S41" s="93"/>
      <c r="T41" s="93"/>
      <c r="U41" s="65"/>
      <c r="V41" s="46"/>
      <c r="W41" s="46"/>
      <c r="X41" s="46"/>
      <c r="Y41" s="46"/>
    </row>
    <row r="42" spans="2:25" ht="16.5" customHeight="1">
      <c r="B42" s="2"/>
      <c r="C42" s="3"/>
      <c r="D42" s="3"/>
      <c r="E42" s="3"/>
      <c r="F42" s="81"/>
      <c r="G42" s="81" t="s">
        <v>32</v>
      </c>
      <c r="H42" s="40"/>
      <c r="I42" s="84"/>
      <c r="J42" s="85"/>
      <c r="K42" s="3"/>
      <c r="L42" s="4"/>
      <c r="M42" s="1"/>
      <c r="N42" s="64"/>
      <c r="O42" s="93"/>
      <c r="P42" s="93"/>
      <c r="Q42" s="93"/>
      <c r="R42" s="93"/>
      <c r="S42" s="93"/>
      <c r="T42" s="93"/>
      <c r="U42" s="65"/>
      <c r="V42" s="46"/>
      <c r="W42" s="46"/>
      <c r="X42" s="46"/>
      <c r="Y42" s="46"/>
    </row>
    <row r="43" spans="2:25" ht="5.25" customHeight="1">
      <c r="B43" s="2"/>
      <c r="C43" s="3"/>
      <c r="D43" s="3"/>
      <c r="E43" s="3"/>
      <c r="F43" s="3"/>
      <c r="G43" s="3"/>
      <c r="H43" s="82"/>
      <c r="I43" s="82"/>
      <c r="J43" s="82"/>
      <c r="K43" s="3"/>
      <c r="L43" s="4"/>
      <c r="M43" s="1"/>
      <c r="N43" s="64"/>
      <c r="O43" s="93"/>
      <c r="P43" s="93"/>
      <c r="Q43" s="93"/>
      <c r="R43" s="93"/>
      <c r="S43" s="93"/>
      <c r="T43" s="93"/>
      <c r="U43" s="65"/>
      <c r="V43" s="46"/>
      <c r="W43" s="46"/>
      <c r="X43" s="46"/>
      <c r="Y43" s="46"/>
    </row>
    <row r="44" spans="2:25" ht="16.5" customHeight="1">
      <c r="B44" s="2"/>
      <c r="C44" s="3"/>
      <c r="D44" s="3"/>
      <c r="E44" s="3"/>
      <c r="F44" s="81"/>
      <c r="G44" s="81" t="s">
        <v>33</v>
      </c>
      <c r="H44" s="40"/>
      <c r="I44" s="84"/>
      <c r="J44" s="85"/>
      <c r="K44" s="3"/>
      <c r="L44" s="4"/>
      <c r="M44" s="1"/>
      <c r="N44" s="64"/>
      <c r="O44" s="93"/>
      <c r="P44" s="93"/>
      <c r="Q44" s="93"/>
      <c r="R44" s="93"/>
      <c r="S44" s="93"/>
      <c r="T44" s="93"/>
      <c r="U44" s="65"/>
      <c r="V44" s="46"/>
      <c r="W44" s="46"/>
      <c r="X44" s="46"/>
      <c r="Y44" s="46"/>
    </row>
    <row r="45" spans="2:25" ht="5.25" customHeight="1">
      <c r="B45" s="2"/>
      <c r="C45" s="3"/>
      <c r="D45" s="3"/>
      <c r="E45" s="3"/>
      <c r="F45" s="3"/>
      <c r="G45" s="3"/>
      <c r="H45" s="82"/>
      <c r="I45" s="82"/>
      <c r="J45" s="82"/>
      <c r="K45" s="3"/>
      <c r="L45" s="4"/>
      <c r="M45" s="1"/>
      <c r="N45" s="64"/>
      <c r="O45" s="83"/>
      <c r="P45" s="83"/>
      <c r="Q45" s="83"/>
      <c r="R45" s="83"/>
      <c r="S45" s="83"/>
      <c r="T45" s="83"/>
      <c r="U45" s="65"/>
      <c r="V45" s="46"/>
      <c r="W45" s="46"/>
      <c r="X45" s="46"/>
      <c r="Y45" s="46"/>
    </row>
    <row r="46" spans="2:25" ht="15" customHeight="1">
      <c r="B46" s="2"/>
      <c r="C46" s="3"/>
      <c r="D46" s="136" t="s">
        <v>34</v>
      </c>
      <c r="E46" s="137"/>
      <c r="F46" s="137"/>
      <c r="G46" s="138"/>
      <c r="H46" s="40"/>
      <c r="I46" s="84"/>
      <c r="J46" s="85"/>
      <c r="K46" s="3"/>
      <c r="L46" s="4"/>
      <c r="M46" s="1"/>
      <c r="N46" s="64"/>
      <c r="O46" s="93" t="s">
        <v>40</v>
      </c>
      <c r="P46" s="93"/>
      <c r="Q46" s="93"/>
      <c r="R46" s="93"/>
      <c r="S46" s="93"/>
      <c r="T46" s="93"/>
      <c r="U46" s="65"/>
      <c r="V46" s="46"/>
      <c r="W46" s="46"/>
      <c r="X46" s="46"/>
      <c r="Y46" s="46"/>
    </row>
    <row r="47" spans="2:25" ht="5.25" customHeight="1">
      <c r="B47" s="2"/>
      <c r="C47" s="3"/>
      <c r="D47" s="3"/>
      <c r="E47" s="3"/>
      <c r="F47" s="3"/>
      <c r="G47" s="3"/>
      <c r="H47" s="82"/>
      <c r="I47" s="82"/>
      <c r="J47" s="82"/>
      <c r="K47" s="3"/>
      <c r="L47" s="4"/>
      <c r="M47" s="1"/>
      <c r="N47" s="64"/>
      <c r="O47" s="93"/>
      <c r="P47" s="93"/>
      <c r="Q47" s="93"/>
      <c r="R47" s="93"/>
      <c r="S47" s="93"/>
      <c r="T47" s="93"/>
      <c r="U47" s="65"/>
      <c r="V47" s="46"/>
      <c r="W47" s="46"/>
      <c r="X47" s="46"/>
      <c r="Y47" s="46"/>
    </row>
    <row r="48" spans="2:25" ht="5.25" customHeight="1">
      <c r="B48" s="2"/>
      <c r="C48" s="3"/>
      <c r="D48" s="3"/>
      <c r="E48" s="3"/>
      <c r="F48" s="3"/>
      <c r="G48" s="3"/>
      <c r="H48" s="82"/>
      <c r="I48" s="82"/>
      <c r="J48" s="82"/>
      <c r="K48" s="3"/>
      <c r="L48" s="4"/>
      <c r="M48" s="1"/>
      <c r="N48" s="64"/>
      <c r="O48" s="93"/>
      <c r="P48" s="93"/>
      <c r="Q48" s="93"/>
      <c r="R48" s="93"/>
      <c r="S48" s="93"/>
      <c r="T48" s="93"/>
      <c r="U48" s="65"/>
      <c r="V48" s="46"/>
      <c r="W48" s="46"/>
      <c r="X48" s="46"/>
      <c r="Y48" s="46"/>
    </row>
    <row r="49" spans="2:25" ht="16.5" customHeight="1">
      <c r="B49" s="2"/>
      <c r="C49" s="3"/>
      <c r="D49" s="3"/>
      <c r="E49" s="3"/>
      <c r="F49" s="81"/>
      <c r="G49" s="7" t="s">
        <v>10</v>
      </c>
      <c r="H49" s="107"/>
      <c r="I49" s="108"/>
      <c r="J49" s="109"/>
      <c r="K49" s="3"/>
      <c r="L49" s="4"/>
      <c r="M49" s="1"/>
      <c r="N49" s="64"/>
      <c r="O49" s="93"/>
      <c r="P49" s="93"/>
      <c r="Q49" s="93"/>
      <c r="R49" s="93"/>
      <c r="S49" s="93"/>
      <c r="T49" s="93"/>
      <c r="U49" s="65"/>
      <c r="V49" s="46"/>
      <c r="W49" s="46"/>
      <c r="X49" s="46"/>
      <c r="Y49" s="46"/>
    </row>
    <row r="50" spans="2:25" ht="5.25" customHeight="1">
      <c r="B50" s="2"/>
      <c r="C50" s="3"/>
      <c r="D50" s="3"/>
      <c r="E50" s="3"/>
      <c r="F50" s="3"/>
      <c r="G50" s="3"/>
      <c r="H50" s="81"/>
      <c r="I50" s="81"/>
      <c r="J50" s="81"/>
      <c r="K50" s="3"/>
      <c r="L50" s="4"/>
      <c r="M50" s="1"/>
      <c r="N50" s="64"/>
      <c r="O50" s="83"/>
      <c r="P50" s="83"/>
      <c r="Q50" s="83"/>
      <c r="R50" s="83"/>
      <c r="S50" s="83"/>
      <c r="T50" s="83"/>
      <c r="U50" s="65"/>
      <c r="V50" s="46"/>
      <c r="W50" s="46"/>
      <c r="X50" s="46"/>
      <c r="Y50" s="46"/>
    </row>
    <row r="51" spans="2:25" ht="16.5" customHeight="1">
      <c r="B51" s="2"/>
      <c r="C51" s="3"/>
      <c r="D51" s="3"/>
      <c r="E51" s="3"/>
      <c r="F51" s="81"/>
      <c r="G51" s="7" t="s">
        <v>11</v>
      </c>
      <c r="H51" s="107"/>
      <c r="I51" s="108"/>
      <c r="J51" s="109"/>
      <c r="K51" s="3"/>
      <c r="L51" s="4"/>
      <c r="M51" s="1"/>
      <c r="N51" s="64"/>
      <c r="O51" s="93" t="s">
        <v>41</v>
      </c>
      <c r="P51" s="93"/>
      <c r="Q51" s="93"/>
      <c r="R51" s="93"/>
      <c r="S51" s="93"/>
      <c r="T51" s="93"/>
      <c r="U51" s="65"/>
      <c r="V51" s="46"/>
      <c r="W51" s="46"/>
      <c r="X51" s="46"/>
      <c r="Y51" s="46"/>
    </row>
    <row r="52" spans="2:25" ht="5.25" customHeight="1">
      <c r="B52" s="2"/>
      <c r="C52" s="3"/>
      <c r="D52" s="3"/>
      <c r="E52" s="3"/>
      <c r="F52" s="3"/>
      <c r="G52" s="3"/>
      <c r="H52" s="82"/>
      <c r="I52" s="82"/>
      <c r="J52" s="82"/>
      <c r="K52" s="3"/>
      <c r="L52" s="4"/>
      <c r="M52" s="1"/>
      <c r="N52" s="64"/>
      <c r="O52" s="93"/>
      <c r="P52" s="93"/>
      <c r="Q52" s="93"/>
      <c r="R52" s="93"/>
      <c r="S52" s="93"/>
      <c r="T52" s="93"/>
      <c r="U52" s="65"/>
      <c r="V52" s="46"/>
      <c r="W52" s="46"/>
      <c r="X52" s="46"/>
      <c r="Y52" s="46"/>
    </row>
    <row r="53" spans="2:25" ht="16.5" customHeight="1">
      <c r="B53" s="2"/>
      <c r="C53" s="3"/>
      <c r="D53" s="3"/>
      <c r="E53" s="3"/>
      <c r="F53" s="81"/>
      <c r="G53" s="7" t="s">
        <v>19</v>
      </c>
      <c r="H53" s="39">
        <v>10</v>
      </c>
      <c r="I53" s="86"/>
      <c r="J53" s="87"/>
      <c r="K53" s="3"/>
      <c r="L53" s="4"/>
      <c r="M53" s="1"/>
      <c r="N53" s="64"/>
      <c r="O53" s="93"/>
      <c r="P53" s="93"/>
      <c r="Q53" s="93"/>
      <c r="R53" s="93"/>
      <c r="S53" s="93"/>
      <c r="T53" s="93"/>
      <c r="U53" s="65"/>
      <c r="V53" s="46"/>
      <c r="W53" s="46"/>
      <c r="X53" s="46"/>
      <c r="Y53" s="46"/>
    </row>
    <row r="54" spans="2:25" ht="5.25" customHeight="1">
      <c r="B54" s="2"/>
      <c r="C54" s="3"/>
      <c r="D54" s="3"/>
      <c r="E54" s="3"/>
      <c r="F54" s="3"/>
      <c r="G54" s="3"/>
      <c r="H54" s="3"/>
      <c r="I54" s="3"/>
      <c r="J54" s="3"/>
      <c r="K54" s="3"/>
      <c r="L54" s="4"/>
      <c r="M54" s="1"/>
      <c r="N54" s="64"/>
      <c r="O54" s="93"/>
      <c r="P54" s="93"/>
      <c r="Q54" s="93"/>
      <c r="R54" s="93"/>
      <c r="S54" s="93"/>
      <c r="T54" s="93"/>
      <c r="U54" s="65"/>
      <c r="V54" s="46"/>
      <c r="W54" s="46"/>
      <c r="X54" s="46"/>
      <c r="Y54" s="46"/>
    </row>
    <row r="55" spans="2:25" ht="16.5" customHeight="1">
      <c r="B55" s="2"/>
      <c r="C55" s="3"/>
      <c r="D55" s="3"/>
      <c r="E55" s="3"/>
      <c r="F55" s="3"/>
      <c r="G55" s="24" t="s">
        <v>20</v>
      </c>
      <c r="H55" s="130">
        <f>SUM(H38:J40)+(SUM(H42+H44+H46))/60*H36+(SUM(H49:J51))+((SUM(H42+H44+H46)/60)*H36*H53%)+H11</f>
        <v>0</v>
      </c>
      <c r="I55" s="131"/>
      <c r="J55" s="132"/>
      <c r="K55" s="3"/>
      <c r="L55" s="4"/>
      <c r="M55" s="1"/>
      <c r="N55" s="64"/>
      <c r="O55" s="93"/>
      <c r="P55" s="93"/>
      <c r="Q55" s="93"/>
      <c r="R55" s="93"/>
      <c r="S55" s="93"/>
      <c r="T55" s="93"/>
      <c r="U55" s="65"/>
      <c r="V55" s="46"/>
      <c r="W55" s="46"/>
      <c r="X55" s="46"/>
      <c r="Y55" s="46"/>
    </row>
    <row r="56" spans="2:25" ht="16.5" customHeight="1">
      <c r="B56" s="2"/>
      <c r="C56" s="3"/>
      <c r="D56" s="3"/>
      <c r="E56" s="3"/>
      <c r="F56" s="3"/>
      <c r="G56" s="3"/>
      <c r="H56" s="3"/>
      <c r="I56" s="3"/>
      <c r="J56" s="3"/>
      <c r="K56" s="3"/>
      <c r="L56" s="4"/>
      <c r="M56" s="1"/>
      <c r="N56" s="64"/>
      <c r="O56" s="3"/>
      <c r="P56" s="3"/>
      <c r="Q56" s="3"/>
      <c r="R56" s="3"/>
      <c r="S56" s="3"/>
      <c r="T56" s="3"/>
      <c r="U56" s="65"/>
      <c r="V56" s="46"/>
      <c r="W56" s="46"/>
      <c r="X56" s="46"/>
      <c r="Y56" s="46"/>
    </row>
    <row r="57" spans="2:25" ht="16.5" customHeight="1">
      <c r="B57" s="2"/>
      <c r="C57" s="79" t="s">
        <v>37</v>
      </c>
      <c r="D57" s="3"/>
      <c r="E57" s="44"/>
      <c r="F57" s="3"/>
      <c r="G57" s="3"/>
      <c r="H57" s="3"/>
      <c r="I57" s="3"/>
      <c r="J57" s="3"/>
      <c r="K57" s="3"/>
      <c r="L57" s="4"/>
      <c r="M57" s="1"/>
      <c r="N57" s="64"/>
      <c r="O57" s="3"/>
      <c r="P57" s="3"/>
      <c r="Q57" s="3"/>
      <c r="R57" s="3"/>
      <c r="S57" s="3"/>
      <c r="T57" s="3"/>
      <c r="U57" s="65"/>
      <c r="V57" s="46"/>
      <c r="W57" s="46"/>
      <c r="X57" s="46"/>
      <c r="Y57" s="46"/>
    </row>
    <row r="58" spans="2:25" ht="16.5" customHeight="1">
      <c r="B58" s="19"/>
      <c r="C58" s="20"/>
      <c r="D58" s="20"/>
      <c r="E58" s="78"/>
      <c r="F58" s="20"/>
      <c r="G58" s="20"/>
      <c r="H58" s="20"/>
      <c r="I58" s="20"/>
      <c r="J58" s="20"/>
      <c r="K58" s="20"/>
      <c r="L58" s="21"/>
      <c r="M58" s="1"/>
      <c r="N58" s="75"/>
      <c r="O58" s="76"/>
      <c r="P58" s="76"/>
      <c r="Q58" s="76"/>
      <c r="R58" s="76"/>
      <c r="S58" s="76"/>
      <c r="T58" s="76"/>
      <c r="U58" s="77"/>
      <c r="V58" s="46"/>
      <c r="W58" s="46"/>
      <c r="X58" s="46"/>
      <c r="Y58" s="46"/>
    </row>
    <row r="59" spans="2:25" ht="18" customHeight="1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48"/>
      <c r="W59" s="48"/>
      <c r="X59" s="48"/>
      <c r="Y59" s="1"/>
    </row>
    <row r="60" spans="2:25" ht="52.5" customHeight="1">
      <c r="B60" s="135"/>
      <c r="C60" s="135"/>
      <c r="D60" s="135"/>
      <c r="E60" s="135"/>
      <c r="F60" s="135"/>
      <c r="G60" s="135"/>
      <c r="H60" s="135"/>
      <c r="I60" s="135"/>
      <c r="J60" s="135"/>
      <c r="K60" s="135"/>
      <c r="L60" s="135"/>
      <c r="M60" s="135"/>
      <c r="N60" s="135"/>
      <c r="O60" s="135"/>
      <c r="P60" s="135"/>
      <c r="Q60" s="135"/>
      <c r="R60" s="135"/>
      <c r="S60" s="135"/>
      <c r="T60" s="135"/>
      <c r="U60" s="135"/>
      <c r="V60" s="135"/>
      <c r="W60" s="135"/>
      <c r="X60" s="135"/>
    </row>
    <row r="61" spans="2:25" ht="9" customHeight="1">
      <c r="B61" s="135"/>
      <c r="C61" s="135"/>
      <c r="D61" s="135"/>
      <c r="E61" s="135"/>
      <c r="F61" s="135"/>
      <c r="G61" s="135"/>
      <c r="H61" s="135"/>
      <c r="I61" s="135"/>
      <c r="J61" s="135"/>
      <c r="K61" s="135"/>
      <c r="L61" s="135"/>
      <c r="M61" s="135"/>
      <c r="N61" s="135"/>
      <c r="O61" s="135"/>
      <c r="P61" s="135"/>
      <c r="Q61" s="135"/>
      <c r="R61" s="135"/>
      <c r="S61" s="135"/>
      <c r="T61" s="135"/>
      <c r="U61" s="135"/>
      <c r="V61" s="135"/>
      <c r="W61" s="135"/>
      <c r="X61" s="135"/>
    </row>
    <row r="62" spans="2:25" ht="25.5" customHeight="1">
      <c r="B62" s="133"/>
      <c r="C62" s="139"/>
      <c r="D62" s="139"/>
      <c r="E62" s="139"/>
      <c r="F62" s="139"/>
      <c r="G62" s="139"/>
      <c r="H62" s="139"/>
      <c r="I62" s="139"/>
      <c r="J62" s="139"/>
      <c r="K62" s="139"/>
      <c r="L62" s="139"/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</row>
    <row r="63" spans="2:25" ht="9" hidden="1" customHeight="1">
      <c r="B63" s="139"/>
      <c r="C63" s="139"/>
      <c r="D63" s="139"/>
      <c r="E63" s="139"/>
      <c r="F63" s="139"/>
      <c r="G63" s="139"/>
      <c r="H63" s="139"/>
      <c r="I63" s="139"/>
      <c r="J63" s="139"/>
      <c r="K63" s="139"/>
      <c r="L63" s="139"/>
      <c r="M63" s="139"/>
      <c r="N63" s="139"/>
      <c r="O63" s="139"/>
      <c r="P63" s="139"/>
      <c r="Q63" s="139"/>
      <c r="R63" s="139"/>
      <c r="S63" s="139"/>
      <c r="T63" s="139"/>
      <c r="U63" s="139"/>
      <c r="V63" s="139"/>
      <c r="W63" s="139"/>
      <c r="X63" s="139"/>
    </row>
    <row r="64" spans="2:25" ht="9" customHeight="1">
      <c r="B64" s="25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25"/>
      <c r="S64" s="25"/>
      <c r="T64" s="25"/>
      <c r="U64" s="25"/>
      <c r="V64" s="58"/>
      <c r="W64" s="58"/>
      <c r="X64" s="58"/>
    </row>
    <row r="65" spans="2:24" ht="30" customHeight="1">
      <c r="B65" s="133"/>
      <c r="C65" s="134"/>
      <c r="D65" s="134"/>
      <c r="E65" s="134"/>
      <c r="F65" s="134"/>
      <c r="G65" s="134"/>
      <c r="H65" s="134"/>
      <c r="I65" s="134"/>
      <c r="J65" s="134"/>
      <c r="K65" s="134"/>
      <c r="L65" s="134"/>
      <c r="M65" s="134"/>
      <c r="N65" s="134"/>
      <c r="O65" s="134"/>
      <c r="P65" s="134"/>
      <c r="Q65" s="134"/>
      <c r="R65" s="134"/>
      <c r="S65" s="134"/>
      <c r="T65" s="134"/>
      <c r="U65" s="134"/>
      <c r="V65" s="134"/>
      <c r="W65" s="134"/>
      <c r="X65" s="134"/>
    </row>
    <row r="66" spans="2:24" ht="9" customHeight="1"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58"/>
      <c r="W66" s="58"/>
      <c r="X66" s="58"/>
    </row>
    <row r="67" spans="2:24" ht="30" customHeight="1">
      <c r="B67" s="133"/>
      <c r="C67" s="134"/>
      <c r="D67" s="134"/>
      <c r="E67" s="134"/>
      <c r="F67" s="134"/>
      <c r="G67" s="134"/>
      <c r="H67" s="134"/>
      <c r="I67" s="134"/>
      <c r="J67" s="134"/>
      <c r="K67" s="134"/>
      <c r="L67" s="134"/>
      <c r="M67" s="134"/>
      <c r="N67" s="134"/>
      <c r="O67" s="134"/>
      <c r="P67" s="134"/>
      <c r="Q67" s="134"/>
      <c r="R67" s="134"/>
      <c r="S67" s="134"/>
      <c r="T67" s="134"/>
      <c r="U67" s="134"/>
      <c r="V67" s="134"/>
      <c r="W67" s="134"/>
      <c r="X67" s="134"/>
    </row>
  </sheetData>
  <sheetProtection algorithmName="SHA-512" hashValue="u6yNRUbjqEqv8SUvGbLYGsztunGtnPJHpn/r3Rf1T9QSFvynMwEq8FXsA52RDRrHfH0REsvY2EMgRPxfjspkAg==" saltValue="OFcp7JNPe5tw6+lvO5WGcw==" spinCount="100000" sheet="1" scenarios="1" selectLockedCells="1"/>
  <mergeCells count="37">
    <mergeCell ref="H55:J55"/>
    <mergeCell ref="B67:X67"/>
    <mergeCell ref="B60:X61"/>
    <mergeCell ref="D46:G46"/>
    <mergeCell ref="B62:X63"/>
    <mergeCell ref="B65:X65"/>
    <mergeCell ref="B2:L2"/>
    <mergeCell ref="H8:J8"/>
    <mergeCell ref="H9:J9"/>
    <mergeCell ref="H11:J11"/>
    <mergeCell ref="D8:G8"/>
    <mergeCell ref="F4:I4"/>
    <mergeCell ref="F6:I6"/>
    <mergeCell ref="B6:D6"/>
    <mergeCell ref="H14:J14"/>
    <mergeCell ref="H49:J49"/>
    <mergeCell ref="H51:J51"/>
    <mergeCell ref="G31:I31"/>
    <mergeCell ref="H36:J36"/>
    <mergeCell ref="H40:J40"/>
    <mergeCell ref="H17:J17"/>
    <mergeCell ref="G23:I23"/>
    <mergeCell ref="H38:J38"/>
    <mergeCell ref="D21:J22"/>
    <mergeCell ref="D27:J28"/>
    <mergeCell ref="G29:I29"/>
    <mergeCell ref="G25:I25"/>
    <mergeCell ref="O41:T44"/>
    <mergeCell ref="O46:T49"/>
    <mergeCell ref="O51:T55"/>
    <mergeCell ref="N2:U3"/>
    <mergeCell ref="O31:T31"/>
    <mergeCell ref="P11:S11"/>
    <mergeCell ref="O34:T40"/>
    <mergeCell ref="O17:T17"/>
    <mergeCell ref="Q20:S20"/>
    <mergeCell ref="Q19:S19"/>
  </mergeCells>
  <pageMargins left="0.25" right="0.25" top="0.75" bottom="0.75" header="0.3" footer="0.3"/>
  <pageSetup scale="9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locked="0" defaultSize="0" autoFill="0" autoLine="0" autoPict="0">
                <anchor moveWithCells="1">
                  <from>
                    <xdr:col>3</xdr:col>
                    <xdr:colOff>144780</xdr:colOff>
                    <xdr:row>18</xdr:row>
                    <xdr:rowOff>30480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Calculator</vt:lpstr>
      <vt:lpstr>Calculator!Print_Area</vt:lpstr>
      <vt:lpstr>Project_Info</vt:lpstr>
      <vt:lpstr>Time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Oliver Henry - Paul Pomeroy</dc:creator>
  <cp:keywords/>
  <dc:description/>
  <cp:lastModifiedBy>Tom Anderson</cp:lastModifiedBy>
  <cp:lastPrinted>2021-05-21T02:09:51Z</cp:lastPrinted>
  <dcterms:created xsi:type="dcterms:W3CDTF">2015-06-05T18:17:20Z</dcterms:created>
  <dcterms:modified xsi:type="dcterms:W3CDTF">2021-05-21T02:11:44Z</dcterms:modified>
  <cp:category/>
</cp:coreProperties>
</file>