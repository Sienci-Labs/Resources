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 1.4.21.4.3" sheetId="1" r:id="rId4"/>
    <sheet state="visible" name="Rev 1.3" sheetId="2" r:id="rId5"/>
    <sheet state="visible" name="Rev 1.2" sheetId="3" r:id="rId6"/>
  </sheets>
  <definedNames/>
  <calcPr/>
</workbook>
</file>

<file path=xl/sharedStrings.xml><?xml version="1.0" encoding="utf-8"?>
<sst xmlns="http://schemas.openxmlformats.org/spreadsheetml/2006/main" count="422" uniqueCount="183">
  <si>
    <r>
      <rPr>
        <rFont val="Arial"/>
        <b/>
        <color theme="1"/>
        <sz val="18.0"/>
      </rPr>
      <t>Bill of Materials for LongBoard</t>
    </r>
    <r>
      <rPr>
        <rFont val="Arial"/>
        <b val="0"/>
        <color theme="1"/>
        <sz val="18.0"/>
      </rPr>
      <t xml:space="preserve"> (Rev 1.4.2/1.4.3)</t>
    </r>
  </si>
  <si>
    <t>We made the LongBoard design open-source so you could reproduce it via PCB milling, etching, or an online service. We also strive to use components that are easy to source; we use LCSC but other options include Digikey, Arrow, and likely other manufacturers local to you.</t>
  </si>
  <si>
    <t>Last updated:</t>
  </si>
  <si>
    <r>
      <rPr>
        <sz val="9.0"/>
      </rPr>
      <t xml:space="preserve">You can find additional documentation regarding the LongBoard here: </t>
    </r>
    <r>
      <rPr>
        <color rgb="FF1155CC"/>
        <sz val="9.0"/>
        <u/>
      </rPr>
      <t>https://resources.sienci.com/view/lm-longboard-documentation/</t>
    </r>
  </si>
  <si>
    <t>https://resources.sienci.com/view/lm-open-source-and-modifications/</t>
  </si>
  <si>
    <t>**Please note that all documentation is prepared with care but there's no guarantee that all provided quantities or information is exact or correct.**</t>
  </si>
  <si>
    <t>Part</t>
  </si>
  <si>
    <t>Notes</t>
  </si>
  <si>
    <t>Quantity</t>
  </si>
  <si>
    <t>Location / Designation</t>
  </si>
  <si>
    <t>Manufacturer Part # or SKU</t>
  </si>
  <si>
    <t>Example link for purchase</t>
  </si>
  <si>
    <t>LongBoard Rev 1.4.2/1.4.3 PCB</t>
  </si>
  <si>
    <t>600/1000 produced, 2.4mm thick, 107.7x269.28mm, FR4 TG130, black, HASL finish. Mounting holes make nearly centered rectangle of 96.03x258.15mm</t>
  </si>
  <si>
    <t>Board</t>
  </si>
  <si>
    <t>Must be manually reproduced via the provided PCB schematics</t>
  </si>
  <si>
    <t>PCB SMD Nut (M4, 5mm standoff)</t>
  </si>
  <si>
    <t>Increase ease of assembly of board into enclosure by mounting via PCB nuts rather than traditional, separated nuts</t>
  </si>
  <si>
    <t>M1, M2, M3, M4</t>
  </si>
  <si>
    <t>SMTSO-40-50-M-T-J</t>
  </si>
  <si>
    <t>https://www.alibaba.com/product-detail/PCB-Standoff-Manufacturer-s-direct-supply_60795106729.html</t>
  </si>
  <si>
    <t>Terminal Block connector (2-pin 1-level, 5.08mm)</t>
  </si>
  <si>
    <t>Plug that carries DC power to the board</t>
  </si>
  <si>
    <t>P15</t>
  </si>
  <si>
    <t>WJ2EDGRC-5.08-2P</t>
  </si>
  <si>
    <t>https://lcsc.com/product-detail/Pluggable-System-Terminal-Block_Ningbo-Kangnex-Elec-WJ2EDGRC-5-08-2P_C3697.html</t>
  </si>
  <si>
    <t>Terminal Block connector (2-pin 1-level, 5.08mm, straight)</t>
  </si>
  <si>
    <t>Plug that routes positive DC power through the e-stop switch before connecting it to the rest of the board</t>
  </si>
  <si>
    <t>SW4</t>
  </si>
  <si>
    <t>WJ2EDGV-5.08-2P</t>
  </si>
  <si>
    <t>https://lcsc.com/product-detail/Pluggable-System-Terminal-Block_Ningbo-Kangnex-Elec-WJ2EDGV-5-08-2P_C8461.html</t>
  </si>
  <si>
    <t>Diode (SMD, schottky barrier)</t>
  </si>
  <si>
    <t>Part of input power management</t>
  </si>
  <si>
    <t>D1</t>
  </si>
  <si>
    <t>SVM1550UB_R2_00001</t>
  </si>
  <si>
    <t>https://lcsc.com/product-detail/Schottky-Barrier-Diodes-SBD_SVM1550UB_C138358.html</t>
  </si>
  <si>
    <t>LED (SMD, orange/617~626nm)</t>
  </si>
  <si>
    <t>Top-facing LED acts as indicator that board is receiving power</t>
  </si>
  <si>
    <t>D9</t>
  </si>
  <si>
    <t>2SA0603V32F0SW001</t>
  </si>
  <si>
    <t>https://lcsc.com/product-detail/Light-Emitting-Diodes-LED_Brightek-Optoelectronics-2SA0603V32F0SW001_C233190.html</t>
  </si>
  <si>
    <t>Capacitor (SMD, 1uF)</t>
  </si>
  <si>
    <t>Work together to suppress arcing on the 24V board power input when the e-stop is used to toggle power on and off</t>
  </si>
  <si>
    <t>C10</t>
  </si>
  <si>
    <t>1206B105K101NT</t>
  </si>
  <si>
    <t>https://lcsc.com/product-detail/Multilayer-Ceramic-Capacitors-MLCC-SMD-SMT_FH-Guangdong-Fenghua-Advanced-Tech-1206B105K101NT_C91151.html</t>
  </si>
  <si>
    <t>Resistor (SMD, 162Ω)</t>
  </si>
  <si>
    <t>R11</t>
  </si>
  <si>
    <t>CR1210F162RP05Z</t>
  </si>
  <si>
    <t>https://lcsc.com/product-detail/Chip-Resistor-Surface-Mount_Ever-Ohms-Tech-CR1210F162RP05_C174452.html</t>
  </si>
  <si>
    <t>Transient Voltage Suppressor (bi-directional)</t>
  </si>
  <si>
    <t>D11</t>
  </si>
  <si>
    <t>SMBJ58CA</t>
  </si>
  <si>
    <t>https://lcsc.com/product-detail/Others_SEMIWARE-SMBJ58CA_C294920.html</t>
  </si>
  <si>
    <t>Voltage Regulator (linear)</t>
  </si>
  <si>
    <t>Part of the voltage regulation circuitry. Designed to receive 24V as input and supply 12V as output to a maximum of ~1A via the fan plug.</t>
  </si>
  <si>
    <t>U1</t>
  </si>
  <si>
    <t>LM317TG</t>
  </si>
  <si>
    <t>https://lcsc.com/product-detail/Voltage-References_ON-Semicon_LM317TG_ON-Semicon-ON-LM317TG_C89320.html</t>
  </si>
  <si>
    <t>Capacitor (SMD, 100nF)</t>
  </si>
  <si>
    <t>Part of the voltage regulation circuitry. Also for noise filtering on the Play/Pause/Stop buttons, limits switches, and probe lines. R10 manages current for inline LED.</t>
  </si>
  <si>
    <t>C1, C2, C3, C4, C5, C6, C7, C8, C9</t>
  </si>
  <si>
    <t>0603F104M500NT</t>
  </si>
  <si>
    <t>https://lcsc.com/product-detail/Multilayer-Ceramic-Capacitors-MLCC-SMD-SMT_100nF-104-20-50V_C42998.html</t>
  </si>
  <si>
    <t>Resistor (SMD, 10kΩ)</t>
  </si>
  <si>
    <t>R1, R3, R4, R5, R6, R7, R8, R9</t>
  </si>
  <si>
    <t>RC0603FR-0710KL</t>
  </si>
  <si>
    <t>https://lcsc.com/product-detail/Chip-Resistor-Surface-Mount_YAGEO-RC0603FR-0710KL_C98220.html</t>
  </si>
  <si>
    <t>Resistor (SMD, 1.15kΩ)</t>
  </si>
  <si>
    <t>R2, R10</t>
  </si>
  <si>
    <t>0603WAF1151T5E</t>
  </si>
  <si>
    <t>https://lcsc.com/product-detail/Chip-Resistor-Surface-Mount_Uniroyal-Elec-0603WAF1151T5E_C22834.html</t>
  </si>
  <si>
    <t>Diode (SMD, general purpose)</t>
  </si>
  <si>
    <t>Run inline for all board 5V IO (limits, SpinPWM, SpinDir, Probe, and Coolant) to protect against incorrect wiring</t>
  </si>
  <si>
    <t>D2, D3, D4, D5, D6, D7, D8, D10, D12</t>
  </si>
  <si>
    <t>GS1002FL_R1_00001</t>
  </si>
  <si>
    <t>https://lcsc.com/product-detail/Others_PANJIT-International-GS1002FL_C353853.html</t>
  </si>
  <si>
    <t>Tactile Switch (SPST)</t>
  </si>
  <si>
    <t>Top-mounted Play/Pause/Stop buttons for manual machine control. Common tactile switch with extended switch height.</t>
  </si>
  <si>
    <t>SW1, SW2, SW3</t>
  </si>
  <si>
    <t>TC-1103-C-U</t>
  </si>
  <si>
    <t>https://lcsc.com/product-detail/Tactile-Switches_XKB-Enterprise-TC-1103-C-U_C318968.html</t>
  </si>
  <si>
    <t>Pin Header (1*10, 2.54mm, male)</t>
  </si>
  <si>
    <t>For connection to Arduino Uno board</t>
  </si>
  <si>
    <t>A1</t>
  </si>
  <si>
    <t>C57369</t>
  </si>
  <si>
    <t>https://lcsc.com/product-detail/Pin-Header-Female-Header_Boom-Precision-Elec-Headers-Pins-2-54mm-1-10P_C57369.html</t>
  </si>
  <si>
    <t>Pin Header (1*8, 2.54mm, male)</t>
  </si>
  <si>
    <t>Z-211-0811-0021-001</t>
  </si>
  <si>
    <t>https://lcsc.com/product-detail/Pin-Header-Female-Header_Nextronics-Engineering-Z-211-0811-0021-001_C190820.html</t>
  </si>
  <si>
    <t>Pin Header (1*6, 2.54mm, male)</t>
  </si>
  <si>
    <t>A2541WV-6P</t>
  </si>
  <si>
    <t>https://lcsc.com/product-detail/Pin-Header-Female-Header_Changjiang-Connectors-A2541WV-6P_C225481.html</t>
  </si>
  <si>
    <t>XH connector (4-pin 1-level, 2.5mm)</t>
  </si>
  <si>
    <t xml:space="preserve">Connect to the limit sensing circuitry for homing or hardstops. The XH connector is very common so it makes for easy connection of a variety of plug-in limit sensors. </t>
  </si>
  <si>
    <t>P12, P13, P14</t>
  </si>
  <si>
    <t>S4B-XH-A-1(LF)(SN)</t>
  </si>
  <si>
    <t>https://lcsc.com/product-detail/Wire-To-Board-Wire-To-Wire-Connector_JST-Sales-America_S4B-XH-A-1-LF-SN_JST-Sales-America-S4B-XH-A-1-LF-SN_C163037.html</t>
  </si>
  <si>
    <t>Terminal Block connector (5-pin 1-level, 3.81mm)</t>
  </si>
  <si>
    <t>Alternative connection point for limit sensing sensors</t>
  </si>
  <si>
    <t>P2</t>
  </si>
  <si>
    <t>WJ15EDGRC-3.81-5P</t>
  </si>
  <si>
    <t>https://lcsc.com/product-detail/Pluggable-System-Terminal-Block_Ningbo-Kangnex-Elec-WJ15EDGRC-3-81-5P_C8395.html</t>
  </si>
  <si>
    <t>Terminal Block connector (4-pin 1-level, 5.08mm)</t>
  </si>
  <si>
    <t>For connection to Stepper Motors</t>
  </si>
  <si>
    <t>P4, P5, P6, P7</t>
  </si>
  <si>
    <t>WJ2EDGRC-5.08-4P</t>
  </si>
  <si>
    <t>https://lcsc.com/product-detail/Pluggable-System-Terminal-Block_Ningbo-Kangnex-Elec-WJ2EDGRC-5-08-4P_C8446.html</t>
  </si>
  <si>
    <t>Terminal Block connector (2-pin 1-level, 3.81mm)</t>
  </si>
  <si>
    <t>Connector used for all other IO on the board, including 12V fan line, spindle control, coolant control, and probe input</t>
  </si>
  <si>
    <t>P1, P3, P16, P17, P18</t>
  </si>
  <si>
    <t>WJ15EDGRC-3.81-2P</t>
  </si>
  <si>
    <t>https://lcsc.com/product-detail/Pluggable-System-Terminal-Block_Ningbo-Kangnex-Elec-WJ15EDGRC-3-81-2P_C8387.html</t>
  </si>
  <si>
    <t>TB6600 Stepper Driver Board</t>
  </si>
  <si>
    <r>
      <rPr/>
      <t xml:space="preserve">Built around the TB6600HG PWM Chopper-Type bipolar Stepping Motor Driver IC from Toshiba, these board modules are ubiquitous, open-source, and provide an effective means for stepper motor control at a hobby-level. There is one driver allocated per motor: one for X, two for Y, and one for Z. The datasheet for the driver chip can be found here: </t>
    </r>
    <r>
      <rPr>
        <color rgb="FF1155CC"/>
        <u/>
      </rPr>
      <t>https://toshiba.semicon-storage.com/us/semiconductor/product/motor-driver-ics/stepping-motor-driver-ics/detail.TB6600HG.html</t>
    </r>
  </si>
  <si>
    <t>Driver</t>
  </si>
  <si>
    <t>https://www.amazon.ca/KOOBOOK-TB6600HG-Stepper-Controller-Replace/dp/B07S9QBCBS/</t>
  </si>
  <si>
    <t>Arduino Uno</t>
  </si>
  <si>
    <r>
      <rPr/>
      <t>An open-source microcontroller board based on the Microchip ATmega328P microcontroller and developed by Arduino.cc This board performs all of the processing necessary to convert incoming gcode into stepper motor movements with other CNC functionality built-in when flashed with the GRBL firmware (</t>
    </r>
    <r>
      <rPr>
        <color rgb="FF1155CC"/>
        <u/>
      </rPr>
      <t>https://github.com/gnea/grbl</t>
    </r>
    <r>
      <rPr/>
      <t xml:space="preserve">). </t>
    </r>
  </si>
  <si>
    <t>Uno</t>
  </si>
  <si>
    <t>https://store.arduino.cc/usa/arduino-uno-rev3</t>
  </si>
  <si>
    <t>Terminal Block plug (5-pin 1-level, 3.81mm)</t>
  </si>
  <si>
    <t>Plugs into the alternative connector for limit sensing sensors. Normally found already plugged into the LongBoard.</t>
  </si>
  <si>
    <t>Plugs</t>
  </si>
  <si>
    <t>WJ15EDGK-3.81-5P</t>
  </si>
  <si>
    <t>https://lcsc.com/product-detail/Pluggable-System-Terminal-Block_Ningbo-Kangnex-Elec-WJ15EDGK-3-81-5P_C3804.html</t>
  </si>
  <si>
    <t>Terminal Block plug (2-pin 1-level, 3.81mm)</t>
  </si>
  <si>
    <t>Plugs into all remaining LongBoard IO. Normally found already plugged into the LongBoard's matching ports.</t>
  </si>
  <si>
    <t>WJ15EDGK-3.81-2P</t>
  </si>
  <si>
    <t>https://lcsc.com/product-detail/Pluggable-System-Terminal-Block_Ningbo-Kangnex-Elec-WJ15EDGK-3-81-2P_C8466.html</t>
  </si>
  <si>
    <t>LongBoard External Supporting Components</t>
  </si>
  <si>
    <t>Terminal Block plug (4-pin 1-level, 5.08mm)</t>
  </si>
  <si>
    <t>Plugs for the four stepper motors. Already come pre-wired onto the wiring harnesses for the LongMill (one for each motor).</t>
  </si>
  <si>
    <t>WJ2EDGK-5.08-4P</t>
  </si>
  <si>
    <t>https://lcsc.com/product-detail/Pluggable-System-Terminal-Block_Ningbo-Kangnex-Elec-WJ2EDGK-5-08-4P-14-00A_C71372.html</t>
  </si>
  <si>
    <t>Terminal Block plug (2-pin 1-level, 5.08mm)</t>
  </si>
  <si>
    <t>Plugs into the DC power connector and e-stop connector on the Longboard and normally comes pre-wired onto the DC side of the LongMill power supply and on the end of the e-stop wiring harness</t>
  </si>
  <si>
    <t>WJ2EDGK-5.08-2P</t>
  </si>
  <si>
    <t>https://lcsc.com/product-detail/Pluggable-System-Terminal-Block_Ningbo-Kangnex-Elec-WJ2EDGK-5-08-2P-14-00A_C71370.html</t>
  </si>
  <si>
    <t>24V 10A power supply</t>
  </si>
  <si>
    <t>Fully enclosed power brick with LED indicator light. Accepts 110-240V and 50-60hz.</t>
  </si>
  <si>
    <t>Power Brick</t>
  </si>
  <si>
    <t>https://www.amazon.ca/LED-Power-Supply-Adapter-24V/dp/B07K9KTMFT</t>
  </si>
  <si>
    <t>AC cable</t>
  </si>
  <si>
    <t>We provide this as a US / North American plug</t>
  </si>
  <si>
    <t>https://www.amazon.ca/LIANSUM-Samsung-Toshiba-ViewSonic-Computer/dp/B08V8QRNQ9/</t>
  </si>
  <si>
    <t>E-stop switch &amp; box</t>
  </si>
  <si>
    <t>Plugs into the top-facing plug on the LongBoard to act as its power switch and also to terminate all power to the CNC in case of an emergency. Has holes for mounting to a variety of surfaces.</t>
  </si>
  <si>
    <t>E-stop</t>
  </si>
  <si>
    <t>https://www.amazon.ca/Baomain-Emergency-Button-Weatherproof-Pushbutton/dp/B00NTT91Y0/</t>
  </si>
  <si>
    <t>USB type B cable</t>
  </si>
  <si>
    <t>1m long, shielded &amp; ferrite bead choke cable for communication from a separate computing device to the on-board Arduino</t>
  </si>
  <si>
    <t>USB Cable</t>
  </si>
  <si>
    <t>https://www.amazon.ca/Hi-Speed-Cable-Ferrite-Chokes-3-Ft/dp/B008VOPCGY</t>
  </si>
  <si>
    <t xml:space="preserve"># Unique Parts: </t>
  </si>
  <si>
    <t xml:space="preserve">Total: </t>
  </si>
  <si>
    <r>
      <rPr>
        <rFont val="Arial"/>
        <b/>
        <color theme="1"/>
        <sz val="18.0"/>
      </rPr>
      <t>Bill of Materials for LongBoard</t>
    </r>
    <r>
      <rPr>
        <rFont val="Arial"/>
        <b val="0"/>
        <color theme="1"/>
        <sz val="18.0"/>
      </rPr>
      <t xml:space="preserve"> (Rev 1.3)</t>
    </r>
  </si>
  <si>
    <r>
      <rPr>
        <sz val="9.0"/>
      </rPr>
      <t xml:space="preserve">You can find additional documentation regarding the LongBoard here: </t>
    </r>
    <r>
      <rPr>
        <color rgb="FF1155CC"/>
        <sz val="9.0"/>
        <u/>
      </rPr>
      <t>https://resources.sienci.com/view/lm-longboard-documentation/</t>
    </r>
  </si>
  <si>
    <t>LongBoard Rev 1.3 PCB</t>
  </si>
  <si>
    <t>250 produced, 2.4mm thick, 107.7x269.28mm, FR4 TG130, black, HASL finish. Mounting holes make nearly centered rectangle of 96.03x258.15mm</t>
  </si>
  <si>
    <t>Rocker Switch (SPST)</t>
  </si>
  <si>
    <t>Manual switch to control power to the board</t>
  </si>
  <si>
    <t>SS11-BBIWQ-R20-R</t>
  </si>
  <si>
    <t>https://lcsc.com/product-detail/Others_Legion-SS11-BBIWQ-R20-R_C309066.html</t>
  </si>
  <si>
    <t>LM317AHVT</t>
  </si>
  <si>
    <t>https://lcsc.com/product-detail/Linear-Voltage-Regulators_ON-Semicon_LM317AHVT_ON-Semicon-ON-LM317AHVT_C111074.html</t>
  </si>
  <si>
    <t>Part of the voltage regulation circuitry. Capacitors also for noise filtering on the Play/Pause/Stop buttons, limits switches, and probe lines.</t>
  </si>
  <si>
    <t>R1</t>
  </si>
  <si>
    <t>0603WAF1002T5E</t>
  </si>
  <si>
    <t>https://lcsc.com/product-detail/Chip-Resistor-Surface-Mount_Uniroyal-Elec-0603WAF1002T5E_C25804.html</t>
  </si>
  <si>
    <t>R2</t>
  </si>
  <si>
    <r>
      <rPr/>
      <t xml:space="preserve">Built around the TB6600HG PWM Chopper-Type bipolar Stepping Motor Driver IC from Toshiba, these board modules are ubiquitous, open-source, and provide an effective means for stepper motor control at a hobby-level. There is one driver allocated per motor: one for X, two for Y, and one for Z. The datasheet for the driver chip can be found here: </t>
    </r>
    <r>
      <rPr>
        <color rgb="FF1155CC"/>
        <u/>
      </rPr>
      <t>https://toshiba.semicon-storage.com/us/semiconductor/product/motor-driver-ics/stepping-motor-driver-ics/detail.TB6600HG.html</t>
    </r>
  </si>
  <si>
    <r>
      <rPr/>
      <t>An open-source microcontroller board based on the Microchip ATmega328P microcontroller and developed by Arduino.cc This board performs all of the processing necessary to convert incoming gcode into stepper motor movements with other CNC functionality built-in when flashed with the GRBL firmware (</t>
    </r>
    <r>
      <rPr>
        <color rgb="FF1155CC"/>
        <u/>
      </rPr>
      <t>https://github.com/gnea/grbl</t>
    </r>
    <r>
      <rPr/>
      <t xml:space="preserve">). </t>
    </r>
  </si>
  <si>
    <t>Plugs into the DC power connector on the Longboard and normally comes pre-wired onto the DC side of the LongMill power supply</t>
  </si>
  <si>
    <r>
      <rPr>
        <rFont val="Arial"/>
        <b/>
        <color theme="1"/>
        <sz val="18.0"/>
      </rPr>
      <t>Bill of Materials for LongBoard</t>
    </r>
    <r>
      <rPr>
        <rFont val="Arial"/>
        <b val="0"/>
        <color theme="1"/>
        <sz val="18.0"/>
      </rPr>
      <t xml:space="preserve"> (Rev 1.2)</t>
    </r>
  </si>
  <si>
    <r>
      <rPr>
        <sz val="9.0"/>
      </rPr>
      <t xml:space="preserve">You can find additional documentation regarding the LongBoard here: </t>
    </r>
    <r>
      <rPr>
        <color rgb="FF1155CC"/>
        <sz val="9.0"/>
        <u/>
      </rPr>
      <t>https://resources.sienci.com/view/lm-longboard-documentation/</t>
    </r>
  </si>
  <si>
    <t>LongBoard Rev 1.2 PCB</t>
  </si>
  <si>
    <t>400 produced, 1.6mm thick, 107.7x259.28mm, FR4 TG130, black, HASL finish. Mounting holes located at ~: 3.7 &amp; 4.7, 102 &amp; 5, 5.4 &amp; 254, 101.5 &amp; 242.7</t>
  </si>
  <si>
    <t>Must be manually reproduced via the provided PCB schematics. This board's mounting holes are not compatible with the current LongBoard Controller enclosure design.</t>
  </si>
  <si>
    <t>Part of the voltage regulation circuitry</t>
  </si>
  <si>
    <t>C1,C2</t>
  </si>
  <si>
    <r>
      <rPr/>
      <t xml:space="preserve">Built around the TB6600HG PWM Chopper-Type bipolar Stepping Motor Driver IC from Toshiba, these board modules are ubiquitous, open-source, and provide an effective means for stepper motor control at a hobby-level. There is one driver allocated per motor: one for X, two for Y, and one for Z. The datasheet for the driver chip can be found here: </t>
    </r>
    <r>
      <rPr>
        <color rgb="FF1155CC"/>
        <u/>
      </rPr>
      <t>https://toshiba.semicon-storage.com/us/semiconductor/product/motor-driver-ics/stepping-motor-driver-ics/detail.TB6600HG.html</t>
    </r>
  </si>
  <si>
    <r>
      <rPr/>
      <t>An open-source microcontroller board based on the Microchip ATmega328P microcontroller and developed by Arduino.cc This board performs all of the processing necessary to convert incoming gcode into stepper motor movements with other CNC functionality built-in when flashed with the GRBL firmware (</t>
    </r>
    <r>
      <rPr>
        <color rgb="FF1155CC"/>
        <u/>
      </rPr>
      <t>https://github.com/gnea/grbl</t>
    </r>
    <r>
      <rPr/>
      <t xml:space="preserve">).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</si>
</sst>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8">
    <font>
      <sz val="10.0"/>
      <color rgb="FF000000"/>
      <name val="Arial"/>
      <scheme val="minor"/>
    </font>
    <font>
      <b/>
      <sz val="18.0"/>
      <color theme="1"/>
      <name val="Arial"/>
    </font>
    <font>
      <color theme="1"/>
      <name val="Arial"/>
    </font>
    <font>
      <sz val="9.0"/>
      <color theme="1"/>
      <name val="Arial"/>
      <scheme val="minor"/>
    </font>
    <font>
      <u/>
      <sz val="9.0"/>
      <color rgb="FF0000FF"/>
    </font>
    <font>
      <sz val="9.0"/>
      <color rgb="FF000000"/>
      <name val="Arial"/>
    </font>
    <font>
      <u/>
      <sz val="9.0"/>
      <color rgb="FF1155CC"/>
      <name val="Arial"/>
    </font>
    <font>
      <b/>
      <sz val="11.0"/>
      <color theme="1"/>
      <name val="Arial"/>
    </font>
    <font>
      <b/>
      <sz val="10.0"/>
      <color theme="1"/>
      <name val="Arial"/>
      <scheme val="minor"/>
    </font>
    <font>
      <color theme="1"/>
      <name val="Arial"/>
      <scheme val="minor"/>
    </font>
    <font>
      <u/>
      <color rgb="FF0000FF"/>
    </font>
    <font>
      <u/>
      <color rgb="FF0000FF"/>
    </font>
    <font>
      <u/>
      <color rgb="FF1155CC"/>
    </font>
    <font>
      <u/>
      <color rgb="FF0000FF"/>
    </font>
    <font>
      <b/>
      <sz val="11.0"/>
      <color theme="1"/>
      <name val="Arial"/>
      <scheme val="minor"/>
    </font>
    <font/>
    <font>
      <b/>
      <sz val="12.0"/>
      <color theme="1"/>
      <name val="Arial"/>
    </font>
    <font>
      <sz val="12.0"/>
      <color theme="1"/>
      <name val="Arial"/>
    </font>
  </fonts>
  <fills count="3">
    <fill>
      <patternFill patternType="none"/>
    </fill>
    <fill>
      <patternFill patternType="lightGray"/>
    </fill>
    <fill>
      <patternFill patternType="solid">
        <fgColor rgb="FFF9CB9C"/>
        <bgColor rgb="FFF9CB9C"/>
      </patternFill>
    </fill>
  </fills>
  <borders count="2">
    <border/>
    <border>
      <bottom style="thin">
        <color rgb="FF666666"/>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3" numFmtId="0" xfId="0" applyAlignment="1" applyFont="1">
      <alignment readingOrder="0" shrinkToFit="0" wrapText="1"/>
    </xf>
    <xf borderId="0" fillId="0" fontId="2" numFmtId="0" xfId="0" applyAlignment="1" applyFont="1">
      <alignment horizontal="right" vertical="center"/>
    </xf>
    <xf borderId="0" fillId="0" fontId="2" numFmtId="164" xfId="0" applyAlignment="1" applyFont="1" applyNumberFormat="1">
      <alignment horizontal="left" readingOrder="0" vertical="center"/>
    </xf>
    <xf borderId="0" fillId="0" fontId="4" numFmtId="0" xfId="0" applyAlignment="1" applyFont="1">
      <alignment horizontal="right" readingOrder="0" shrinkToFit="0" wrapText="1"/>
    </xf>
    <xf borderId="0" fillId="0" fontId="5" numFmtId="0" xfId="0" applyAlignment="1" applyFont="1">
      <alignment readingOrder="0" shrinkToFit="0" vertical="bottom" wrapText="1"/>
    </xf>
    <xf borderId="0" fillId="0" fontId="6" numFmtId="0" xfId="0" applyAlignment="1" applyFont="1">
      <alignment horizontal="right" readingOrder="0" shrinkToFit="0" vertical="bottom" wrapText="1"/>
    </xf>
    <xf borderId="1" fillId="0" fontId="7" numFmtId="0" xfId="0" applyAlignment="1" applyBorder="1" applyFont="1">
      <alignment vertical="center"/>
    </xf>
    <xf borderId="1" fillId="0" fontId="7" numFmtId="0" xfId="0" applyAlignment="1" applyBorder="1" applyFont="1">
      <alignment horizontal="center" vertical="center"/>
    </xf>
    <xf borderId="1" fillId="0" fontId="8"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0"/>
    </xf>
    <xf borderId="0" fillId="0" fontId="9" numFmtId="0" xfId="0" applyAlignment="1" applyFont="1">
      <alignment readingOrder="0" vertical="center"/>
    </xf>
    <xf borderId="0" fillId="0" fontId="9" numFmtId="0" xfId="0" applyAlignment="1" applyFont="1">
      <alignment readingOrder="0" shrinkToFit="0" wrapText="1"/>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0" fillId="0" fontId="9" numFmtId="0" xfId="0" applyAlignment="1" applyFont="1">
      <alignment horizontal="center" readingOrder="0" vertical="center"/>
    </xf>
    <xf borderId="0" fillId="0" fontId="9" numFmtId="0" xfId="0" applyAlignment="1" applyFont="1">
      <alignment readingOrder="0" shrinkToFit="0" vertical="center" wrapText="0"/>
    </xf>
    <xf borderId="0" fillId="0" fontId="9" numFmtId="0" xfId="0" applyAlignment="1" applyFont="1">
      <alignment readingOrder="0" shrinkToFit="0" vertical="center" wrapText="1"/>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9" numFmtId="0" xfId="0" applyAlignment="1" applyFont="1">
      <alignment horizontal="center" shrinkToFit="0" vertical="center" wrapText="1"/>
    </xf>
    <xf borderId="0" fillId="0" fontId="11" numFmtId="0" xfId="0" applyAlignment="1" applyFont="1">
      <alignment readingOrder="0" shrinkToFit="0" vertical="center" wrapText="0"/>
    </xf>
    <xf borderId="0" fillId="0" fontId="12" numFmtId="0" xfId="0" applyAlignment="1" applyFont="1">
      <alignment readingOrder="0" shrinkToFit="0" vertical="center" wrapText="0"/>
    </xf>
    <xf borderId="0" fillId="0" fontId="9" numFmtId="0" xfId="0" applyAlignment="1" applyFont="1">
      <alignment horizontal="center" readingOrder="0" shrinkToFit="0" vertical="center" wrapText="1"/>
    </xf>
    <xf borderId="0" fillId="0" fontId="9" numFmtId="0" xfId="0" applyAlignment="1" applyFont="1">
      <alignment vertical="center"/>
    </xf>
    <xf borderId="0" fillId="0" fontId="9" numFmtId="0" xfId="0" applyAlignment="1" applyFont="1">
      <alignment horizontal="center" shrinkToFit="0" vertical="center" wrapText="1"/>
    </xf>
    <xf borderId="0" fillId="0" fontId="9" numFmtId="0" xfId="0" applyAlignment="1" applyFont="1">
      <alignment shrinkToFit="0" vertical="center" wrapText="0"/>
    </xf>
    <xf borderId="0" fillId="0" fontId="13" numFmtId="0" xfId="0" applyAlignment="1" applyFont="1">
      <alignment readingOrder="0" shrinkToFit="0" vertical="center" wrapText="1"/>
    </xf>
    <xf borderId="0" fillId="0" fontId="9" numFmtId="0" xfId="0" applyAlignment="1" applyFont="1">
      <alignment shrinkToFit="0" wrapText="1"/>
    </xf>
    <xf borderId="0" fillId="0" fontId="9" numFmtId="0" xfId="0" applyAlignment="1" applyFont="1">
      <alignment shrinkToFit="0" vertical="center" wrapText="1"/>
    </xf>
    <xf borderId="0" fillId="0" fontId="9" numFmtId="0" xfId="0" applyAlignment="1" applyFont="1">
      <alignment horizontal="center" vertical="center"/>
    </xf>
    <xf borderId="1" fillId="0" fontId="14" numFmtId="0" xfId="0" applyAlignment="1" applyBorder="1" applyFont="1">
      <alignment readingOrder="0" shrinkToFit="0" vertical="center" wrapText="1"/>
    </xf>
    <xf borderId="1" fillId="0" fontId="15" numFmtId="0" xfId="0" applyBorder="1" applyFont="1"/>
    <xf borderId="1" fillId="0" fontId="9" numFmtId="0" xfId="0" applyAlignment="1" applyBorder="1" applyFont="1">
      <alignment horizontal="center" vertical="center"/>
    </xf>
    <xf borderId="1" fillId="0" fontId="9" numFmtId="0" xfId="0" applyAlignment="1" applyBorder="1" applyFont="1">
      <alignment vertical="center"/>
    </xf>
    <xf borderId="1" fillId="0" fontId="9" numFmtId="0" xfId="0" applyAlignment="1" applyBorder="1" applyFont="1">
      <alignment shrinkToFit="0" vertical="center" wrapText="0"/>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16" numFmtId="0" xfId="0" applyAlignment="1" applyFont="1">
      <alignment horizontal="right" vertical="bottom"/>
    </xf>
    <xf borderId="0" fillId="2" fontId="17" numFmtId="0" xfId="0" applyAlignment="1" applyFill="1" applyFont="1">
      <alignment horizontal="right" vertical="bottom"/>
    </xf>
    <xf borderId="0" fillId="2" fontId="17"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csc.com/product-detail/Wire-To-Board-Wire-To-Wire-Connector_JST-Sales-America_S4B-XH-A-1-LF-SN_JST-Sales-America-S4B-XH-A-1-LF-SN_C163037.html" TargetMode="External"/><Relationship Id="rId22" Type="http://schemas.openxmlformats.org/officeDocument/2006/relationships/hyperlink" Target="https://lcsc.com/product-detail/Pluggable-System-Terminal-Block_Ningbo-Kangnex-Elec-WJ2EDGRC-5-08-4P_C8446.html?fbclid=IwAR20A9WCjfTPLoimdSL6HPUaw0owxELAkYvYe-3uTRNEZchwfBCtOkYLhGw" TargetMode="External"/><Relationship Id="rId21" Type="http://schemas.openxmlformats.org/officeDocument/2006/relationships/hyperlink" Target="https://lcsc.com/product-detail/Pluggable-System-Terminal-Block_Ningbo-Kangnex-Elec-WJ15EDGRC-3-81-5P_C8395.html" TargetMode="External"/><Relationship Id="rId24" Type="http://schemas.openxmlformats.org/officeDocument/2006/relationships/hyperlink" Target="https://toshiba.semicon-storage.com/us/semiconductor/product/motor-driver-ics/stepping-motor-driver-ics/detail.TB6600HG.html" TargetMode="External"/><Relationship Id="rId23" Type="http://schemas.openxmlformats.org/officeDocument/2006/relationships/hyperlink" Target="https://lcsc.com/product-detail/Pluggable-System-Terminal-Block_Ningbo-Kangnex-Elec-WJ15EDGRC-3-81-2P_C8387.html" TargetMode="External"/><Relationship Id="rId1" Type="http://schemas.openxmlformats.org/officeDocument/2006/relationships/hyperlink" Target="https://resources.sienci.com/view/lm-longboard-documentation/" TargetMode="External"/><Relationship Id="rId2" Type="http://schemas.openxmlformats.org/officeDocument/2006/relationships/hyperlink" Target="https://resources.sienci.com/view/lm-open-source-and-modifications/" TargetMode="External"/><Relationship Id="rId3" Type="http://schemas.openxmlformats.org/officeDocument/2006/relationships/hyperlink" Target="https://www.alibaba.com/product-detail/PCB-Standoff-Manufacturer-s-direct-supply_60795106729.html" TargetMode="External"/><Relationship Id="rId4" Type="http://schemas.openxmlformats.org/officeDocument/2006/relationships/hyperlink" Target="https://lcsc.com/product-detail/Pluggable-System-Terminal-Block_Ningbo-Kangnex-Elec-WJ2EDGRC-5-08-2P_C3697.html" TargetMode="External"/><Relationship Id="rId9" Type="http://schemas.openxmlformats.org/officeDocument/2006/relationships/hyperlink" Target="https://lcsc.com/product-detail/Chip-Resistor-Surface-Mount_Ever-Ohms-Tech-CR1210F162RP05_C174452.html" TargetMode="External"/><Relationship Id="rId26" Type="http://schemas.openxmlformats.org/officeDocument/2006/relationships/hyperlink" Target="https://github.com/gnea/grbl" TargetMode="External"/><Relationship Id="rId25" Type="http://schemas.openxmlformats.org/officeDocument/2006/relationships/hyperlink" Target="https://www.amazon.ca/KOOBOOK-TB6600HG-Stepper-Controller-Replace/dp/B07S9QBCBS/" TargetMode="External"/><Relationship Id="rId28" Type="http://schemas.openxmlformats.org/officeDocument/2006/relationships/hyperlink" Target="https://lcsc.com/product-detail/Pluggable-System-Terminal-Block_Ningbo-Kangnex-Elec-WJ15EDGK-3-81-5P_C3804.html" TargetMode="External"/><Relationship Id="rId27" Type="http://schemas.openxmlformats.org/officeDocument/2006/relationships/hyperlink" Target="https://store.arduino.cc/usa/arduino-uno-rev3" TargetMode="External"/><Relationship Id="rId5" Type="http://schemas.openxmlformats.org/officeDocument/2006/relationships/hyperlink" Target="https://lcsc.com/product-detail/Pluggable-System-Terminal-Block_Ningbo-Kangnex-Elec-WJ2EDGV-5-08-2P_C8461.html" TargetMode="External"/><Relationship Id="rId6" Type="http://schemas.openxmlformats.org/officeDocument/2006/relationships/hyperlink" Target="https://lcsc.com/product-detail/Schottky-Barrier-Diodes-SBD_SVM1550UB_C138358.html" TargetMode="External"/><Relationship Id="rId29" Type="http://schemas.openxmlformats.org/officeDocument/2006/relationships/hyperlink" Target="https://lcsc.com/product-detail/Pluggable-System-Terminal-Block_Ningbo-Kangnex-Elec-WJ15EDGK-3-81-2P_C8466.html" TargetMode="External"/><Relationship Id="rId7" Type="http://schemas.openxmlformats.org/officeDocument/2006/relationships/hyperlink" Target="https://lcsc.com/product-detail/Light-Emitting-Diodes-LED_Brightek-Optoelectronics-2SA0603V32F0SW001_C233190.html" TargetMode="External"/><Relationship Id="rId8" Type="http://schemas.openxmlformats.org/officeDocument/2006/relationships/hyperlink" Target="https://lcsc.com/product-detail/Multilayer-Ceramic-Capacitors-MLCC-SMD-SMT_FH-Guangdong-Fenghua-Advanced-Tech-1206B105K101NT_C91151.html" TargetMode="External"/><Relationship Id="rId31" Type="http://schemas.openxmlformats.org/officeDocument/2006/relationships/hyperlink" Target="https://lcsc.com/product-detail/Pluggable-System-Terminal-Block_Ningbo-Kangnex-Elec-WJ2EDGK-5-08-2P-14-00A_C71370.html" TargetMode="External"/><Relationship Id="rId30" Type="http://schemas.openxmlformats.org/officeDocument/2006/relationships/hyperlink" Target="https://lcsc.com/product-detail/Pluggable-System-Terminal-Block_Ningbo-Kangnex-Elec-WJ2EDGK-5-08-4P-14-00A_C71372.html" TargetMode="External"/><Relationship Id="rId11" Type="http://schemas.openxmlformats.org/officeDocument/2006/relationships/hyperlink" Target="https://lcsc.com/product-detail/Voltage-References_ON-Semicon_LM317TG_ON-Semicon-ON-LM317TG_C89320.html" TargetMode="External"/><Relationship Id="rId33" Type="http://schemas.openxmlformats.org/officeDocument/2006/relationships/hyperlink" Target="https://www.amazon.ca/LIANSUM-Samsung-Toshiba-ViewSonic-Computer/dp/B08V8QRNQ9/" TargetMode="External"/><Relationship Id="rId10" Type="http://schemas.openxmlformats.org/officeDocument/2006/relationships/hyperlink" Target="https://lcsc.com/product-detail/Others_SEMIWARE-SMBJ58CA_C294920.html" TargetMode="External"/><Relationship Id="rId32" Type="http://schemas.openxmlformats.org/officeDocument/2006/relationships/hyperlink" Target="https://www.amazon.ca/LED-Power-Supply-Adapter-24V/dp/B07K9KTMFT" TargetMode="External"/><Relationship Id="rId13" Type="http://schemas.openxmlformats.org/officeDocument/2006/relationships/hyperlink" Target="https://lcsc.com/product-detail/Chip-Resistor-Surface-Mount_YAGEO-RC0603FR-0710KL_C98220.html" TargetMode="External"/><Relationship Id="rId35" Type="http://schemas.openxmlformats.org/officeDocument/2006/relationships/hyperlink" Target="https://www.amazon.ca/Hi-Speed-Cable-Ferrite-Chokes-3-Ft/dp/B008VOPCGY" TargetMode="External"/><Relationship Id="rId12" Type="http://schemas.openxmlformats.org/officeDocument/2006/relationships/hyperlink" Target="https://lcsc.com/product-detail/Multilayer-Ceramic-Capacitors-MLCC-SMD-SMT_100nF-104-20-50V_C42998.html" TargetMode="External"/><Relationship Id="rId34" Type="http://schemas.openxmlformats.org/officeDocument/2006/relationships/hyperlink" Target="https://www.amazon.ca/Baomain-Emergency-Button-Weatherproof-Pushbutton/dp/B00NTT91Y0/" TargetMode="External"/><Relationship Id="rId15" Type="http://schemas.openxmlformats.org/officeDocument/2006/relationships/hyperlink" Target="https://lcsc.com/product-detail/Others_PANJIT-International-GS1002FL_C353853.html" TargetMode="External"/><Relationship Id="rId14" Type="http://schemas.openxmlformats.org/officeDocument/2006/relationships/hyperlink" Target="https://lcsc.com/product-detail/Chip-Resistor-Surface-Mount_Uniroyal-Elec-0603WAF1151T5E_C22834.html" TargetMode="External"/><Relationship Id="rId36" Type="http://schemas.openxmlformats.org/officeDocument/2006/relationships/drawing" Target="../drawings/drawing1.xml"/><Relationship Id="rId17" Type="http://schemas.openxmlformats.org/officeDocument/2006/relationships/hyperlink" Target="https://lcsc.com/product-detail/Pin-Header-Female-Header_Boom-Precision-Elec-Headers-Pins-2-54mm-1-10P_C57369.html" TargetMode="External"/><Relationship Id="rId16" Type="http://schemas.openxmlformats.org/officeDocument/2006/relationships/hyperlink" Target="https://lcsc.com/product-detail/Tactile-Switches_XKB-Enterprise-TC-1103-C-U_C318968.html" TargetMode="External"/><Relationship Id="rId19" Type="http://schemas.openxmlformats.org/officeDocument/2006/relationships/hyperlink" Target="https://lcsc.com/product-detail/Pin-Header-Female-Header_Changjiang-Connectors-A2541WV-6P_C225481.html" TargetMode="External"/><Relationship Id="rId18" Type="http://schemas.openxmlformats.org/officeDocument/2006/relationships/hyperlink" Target="https://lcsc.com/product-detail/Pin-Header-Female-Header_Nextronics-Engineering-Z-211-0811-0021-001_C190820.html"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gnea/grbl" TargetMode="External"/><Relationship Id="rId22" Type="http://schemas.openxmlformats.org/officeDocument/2006/relationships/hyperlink" Target="https://lcsc.com/product-detail/Pluggable-System-Terminal-Block_Ningbo-Kangnex-Elec-WJ15EDGK-3-81-5P_C3804.html" TargetMode="External"/><Relationship Id="rId21" Type="http://schemas.openxmlformats.org/officeDocument/2006/relationships/hyperlink" Target="https://store.arduino.cc/usa/arduino-uno-rev3" TargetMode="External"/><Relationship Id="rId24" Type="http://schemas.openxmlformats.org/officeDocument/2006/relationships/hyperlink" Target="https://lcsc.com/product-detail/Pluggable-System-Terminal-Block_Ningbo-Kangnex-Elec-WJ2EDGK-5-08-4P-14-00A_C71372.html" TargetMode="External"/><Relationship Id="rId23" Type="http://schemas.openxmlformats.org/officeDocument/2006/relationships/hyperlink" Target="https://lcsc.com/product-detail/Pluggable-System-Terminal-Block_Ningbo-Kangnex-Elec-WJ15EDGK-3-81-2P_C8466.html" TargetMode="External"/><Relationship Id="rId1" Type="http://schemas.openxmlformats.org/officeDocument/2006/relationships/hyperlink" Target="https://resources.sienci.com/view/lm-longboard-documentation/" TargetMode="External"/><Relationship Id="rId2" Type="http://schemas.openxmlformats.org/officeDocument/2006/relationships/hyperlink" Target="https://resources.sienci.com/view/lm-open-source-and-modifications/" TargetMode="External"/><Relationship Id="rId3" Type="http://schemas.openxmlformats.org/officeDocument/2006/relationships/hyperlink" Target="https://lcsc.com/product-detail/Pluggable-System-Terminal-Block_Ningbo-Kangnex-Elec-WJ2EDGRC-5-08-2P_C3697.html" TargetMode="External"/><Relationship Id="rId4" Type="http://schemas.openxmlformats.org/officeDocument/2006/relationships/hyperlink" Target="https://lcsc.com/product-detail/Others_Legion-SS11-BBIWQ-R20-R_C309066.html" TargetMode="External"/><Relationship Id="rId9" Type="http://schemas.openxmlformats.org/officeDocument/2006/relationships/hyperlink" Target="https://lcsc.com/product-detail/Chip-Resistor-Surface-Mount_Uniroyal-Elec-0603WAF1151T5E_C22834.html" TargetMode="External"/><Relationship Id="rId26" Type="http://schemas.openxmlformats.org/officeDocument/2006/relationships/hyperlink" Target="https://www.amazon.ca/LED-Power-Supply-Adapter-24V/dp/B07K9KTMFT" TargetMode="External"/><Relationship Id="rId25" Type="http://schemas.openxmlformats.org/officeDocument/2006/relationships/hyperlink" Target="https://lcsc.com/product-detail/Pluggable-System-Terminal-Block_Ningbo-Kangnex-Elec-WJ2EDGK-5-08-2P-14-00A_C71370.html" TargetMode="External"/><Relationship Id="rId28" Type="http://schemas.openxmlformats.org/officeDocument/2006/relationships/hyperlink" Target="https://www.amazon.ca/Hi-Speed-Cable-Ferrite-Chokes-3-Ft/dp/B008VOPCGY" TargetMode="External"/><Relationship Id="rId27" Type="http://schemas.openxmlformats.org/officeDocument/2006/relationships/hyperlink" Target="https://www.amazon.ca/LIANSUM-Samsung-Toshiba-ViewSonic-Computer/dp/B08V8QRNQ9/" TargetMode="External"/><Relationship Id="rId5" Type="http://schemas.openxmlformats.org/officeDocument/2006/relationships/hyperlink" Target="https://lcsc.com/product-detail/Schottky-Barrier-Diodes-SBD_SVM1550UB_C138358.html" TargetMode="External"/><Relationship Id="rId6" Type="http://schemas.openxmlformats.org/officeDocument/2006/relationships/hyperlink" Target="https://lcsc.com/product-detail/Linear-Voltage-Regulators_ON-Semicon_LM317AHVT_ON-Semicon-ON-LM317AHVT_C111074.html" TargetMode="External"/><Relationship Id="rId29" Type="http://schemas.openxmlformats.org/officeDocument/2006/relationships/drawing" Target="../drawings/drawing2.xml"/><Relationship Id="rId7" Type="http://schemas.openxmlformats.org/officeDocument/2006/relationships/hyperlink" Target="https://lcsc.com/product-detail/Multilayer-Ceramic-Capacitors-MLCC-SMD-SMT_100nF-104-20-50V_C42998.html" TargetMode="External"/><Relationship Id="rId8" Type="http://schemas.openxmlformats.org/officeDocument/2006/relationships/hyperlink" Target="https://lcsc.com/product-detail/Chip-Resistor-Surface-Mount_Uniroyal-Elec-0603WAF1002T5E_C25804.html" TargetMode="External"/><Relationship Id="rId11" Type="http://schemas.openxmlformats.org/officeDocument/2006/relationships/hyperlink" Target="https://lcsc.com/product-detail/Pin-Header-Female-Header_Boom-Precision-Elec-Headers-Pins-2-54mm-1-10P_C57369.html" TargetMode="External"/><Relationship Id="rId10" Type="http://schemas.openxmlformats.org/officeDocument/2006/relationships/hyperlink" Target="https://lcsc.com/product-detail/Tactile-Switches_XKB-Enterprise-TC-1103-C-U_C318968.html" TargetMode="External"/><Relationship Id="rId13" Type="http://schemas.openxmlformats.org/officeDocument/2006/relationships/hyperlink" Target="https://lcsc.com/product-detail/Pin-Header-Female-Header_Changjiang-Connectors-A2541WV-6P_C225481.html" TargetMode="External"/><Relationship Id="rId12" Type="http://schemas.openxmlformats.org/officeDocument/2006/relationships/hyperlink" Target="https://lcsc.com/product-detail/Pin-Header-Female-Header_Nextronics-Engineering-Z-211-0811-0021-001_C190820.html" TargetMode="External"/><Relationship Id="rId15" Type="http://schemas.openxmlformats.org/officeDocument/2006/relationships/hyperlink" Target="https://lcsc.com/product-detail/Pluggable-System-Terminal-Block_Ningbo-Kangnex-Elec-WJ15EDGRC-3-81-5P_C8395.html" TargetMode="External"/><Relationship Id="rId14" Type="http://schemas.openxmlformats.org/officeDocument/2006/relationships/hyperlink" Target="https://lcsc.com/product-detail/Wire-To-Board-Wire-To-Wire-Connector_JST-Sales-America_S4B-XH-A-1-LF-SN_JST-Sales-America-S4B-XH-A-1-LF-SN_C163037.html" TargetMode="External"/><Relationship Id="rId17" Type="http://schemas.openxmlformats.org/officeDocument/2006/relationships/hyperlink" Target="https://lcsc.com/product-detail/Pluggable-System-Terminal-Block_Ningbo-Kangnex-Elec-WJ15EDGRC-3-81-2P_C8387.html" TargetMode="External"/><Relationship Id="rId16" Type="http://schemas.openxmlformats.org/officeDocument/2006/relationships/hyperlink" Target="https://lcsc.com/product-detail/Pluggable-System-Terminal-Block_Ningbo-Kangnex-Elec-WJ2EDGRC-5-08-4P_C8446.html?fbclid=IwAR20A9WCjfTPLoimdSL6HPUaw0owxELAkYvYe-3uTRNEZchwfBCtOkYLhGw" TargetMode="External"/><Relationship Id="rId19" Type="http://schemas.openxmlformats.org/officeDocument/2006/relationships/hyperlink" Target="https://www.amazon.ca/KOOBOOK-TB6600HG-Stepper-Controller-Replace/dp/B07S9QBCBS/" TargetMode="External"/><Relationship Id="rId18" Type="http://schemas.openxmlformats.org/officeDocument/2006/relationships/hyperlink" Target="https://toshiba.semicon-storage.com/us/semiconductor/product/motor-driver-ics/stepping-motor-driver-ics/detail.TB6600HG.htm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github.com/gnea/grbl" TargetMode="External"/><Relationship Id="rId22" Type="http://schemas.openxmlformats.org/officeDocument/2006/relationships/hyperlink" Target="https://lcsc.com/product-detail/Pluggable-System-Terminal-Block_Ningbo-Kangnex-Elec-WJ15EDGK-3-81-5P_C3804.html" TargetMode="External"/><Relationship Id="rId21" Type="http://schemas.openxmlformats.org/officeDocument/2006/relationships/hyperlink" Target="https://store.arduino.cc/usa/arduino-uno-rev3" TargetMode="External"/><Relationship Id="rId24" Type="http://schemas.openxmlformats.org/officeDocument/2006/relationships/hyperlink" Target="https://lcsc.com/product-detail/Pluggable-System-Terminal-Block_Ningbo-Kangnex-Elec-WJ2EDGK-5-08-4P-14-00A_C71372.html" TargetMode="External"/><Relationship Id="rId23" Type="http://schemas.openxmlformats.org/officeDocument/2006/relationships/hyperlink" Target="https://lcsc.com/product-detail/Pluggable-System-Terminal-Block_Ningbo-Kangnex-Elec-WJ15EDGK-3-81-2P_C8466.html" TargetMode="External"/><Relationship Id="rId1" Type="http://schemas.openxmlformats.org/officeDocument/2006/relationships/hyperlink" Target="https://resources.sienci.com/view/lm-longboard-documentation/" TargetMode="External"/><Relationship Id="rId2" Type="http://schemas.openxmlformats.org/officeDocument/2006/relationships/hyperlink" Target="https://resources.sienci.com/view/lm-open-source-and-modifications/" TargetMode="External"/><Relationship Id="rId3" Type="http://schemas.openxmlformats.org/officeDocument/2006/relationships/hyperlink" Target="https://lcsc.com/product-detail/Pluggable-System-Terminal-Block_Ningbo-Kangnex-Elec-WJ2EDGRC-5-08-2P_C3697.html" TargetMode="External"/><Relationship Id="rId4" Type="http://schemas.openxmlformats.org/officeDocument/2006/relationships/hyperlink" Target="https://lcsc.com/product-detail/Others_Legion-SS11-BBIWQ-R20-R_C309066.html" TargetMode="External"/><Relationship Id="rId9" Type="http://schemas.openxmlformats.org/officeDocument/2006/relationships/hyperlink" Target="https://lcsc.com/product-detail/Chip-Resistor-Surface-Mount_Uniroyal-Elec-0603WAF1151T5E_C22834.html" TargetMode="External"/><Relationship Id="rId26" Type="http://schemas.openxmlformats.org/officeDocument/2006/relationships/hyperlink" Target="https://www.amazon.ca/LED-Power-Supply-Adapter-24V/dp/B07K9KTMFT" TargetMode="External"/><Relationship Id="rId25" Type="http://schemas.openxmlformats.org/officeDocument/2006/relationships/hyperlink" Target="https://lcsc.com/product-detail/Pluggable-System-Terminal-Block_Ningbo-Kangnex-Elec-WJ2EDGK-5-08-2P-14-00A_C71370.html" TargetMode="External"/><Relationship Id="rId28" Type="http://schemas.openxmlformats.org/officeDocument/2006/relationships/hyperlink" Target="https://www.amazon.ca/Hi-Speed-Cable-Ferrite-Chokes-3-Ft/dp/B008VOPCGY" TargetMode="External"/><Relationship Id="rId27" Type="http://schemas.openxmlformats.org/officeDocument/2006/relationships/hyperlink" Target="https://www.amazon.ca/LIANSUM-Samsung-Toshiba-ViewSonic-Computer/dp/B08V8QRNQ9/" TargetMode="External"/><Relationship Id="rId5" Type="http://schemas.openxmlformats.org/officeDocument/2006/relationships/hyperlink" Target="https://lcsc.com/product-detail/Schottky-Barrier-Diodes-SBD_SVM1550UB_C138358.html" TargetMode="External"/><Relationship Id="rId6" Type="http://schemas.openxmlformats.org/officeDocument/2006/relationships/hyperlink" Target="https://lcsc.com/product-detail/Linear-Voltage-Regulators_ON-Semicon_LM317AHVT_ON-Semicon-ON-LM317AHVT_C111074.html" TargetMode="External"/><Relationship Id="rId29" Type="http://schemas.openxmlformats.org/officeDocument/2006/relationships/drawing" Target="../drawings/drawing3.xml"/><Relationship Id="rId7" Type="http://schemas.openxmlformats.org/officeDocument/2006/relationships/hyperlink" Target="https://lcsc.com/product-detail/Multilayer-Ceramic-Capacitors-MLCC-SMD-SMT_100nF-104-20-50V_C42998.html" TargetMode="External"/><Relationship Id="rId8" Type="http://schemas.openxmlformats.org/officeDocument/2006/relationships/hyperlink" Target="https://lcsc.com/product-detail/Chip-Resistor-Surface-Mount_Uniroyal-Elec-0603WAF1002T5E_C25804.html" TargetMode="External"/><Relationship Id="rId11" Type="http://schemas.openxmlformats.org/officeDocument/2006/relationships/hyperlink" Target="https://lcsc.com/product-detail/Pin-Header-Female-Header_Boom-Precision-Elec-Headers-Pins-2-54mm-1-10P_C57369.html" TargetMode="External"/><Relationship Id="rId10" Type="http://schemas.openxmlformats.org/officeDocument/2006/relationships/hyperlink" Target="https://lcsc.com/product-detail/Tactile-Switches_XKB-Enterprise-TC-1103-C-U_C318968.html" TargetMode="External"/><Relationship Id="rId13" Type="http://schemas.openxmlformats.org/officeDocument/2006/relationships/hyperlink" Target="https://lcsc.com/product-detail/Pin-Header-Female-Header_Changjiang-Connectors-A2541WV-6P_C225481.html" TargetMode="External"/><Relationship Id="rId12" Type="http://schemas.openxmlformats.org/officeDocument/2006/relationships/hyperlink" Target="https://lcsc.com/product-detail/Pin-Header-Female-Header_Nextronics-Engineering-Z-211-0811-0021-001_C190820.html" TargetMode="External"/><Relationship Id="rId15" Type="http://schemas.openxmlformats.org/officeDocument/2006/relationships/hyperlink" Target="https://lcsc.com/product-detail/Pluggable-System-Terminal-Block_Ningbo-Kangnex-Elec-WJ15EDGRC-3-81-5P_C8395.html" TargetMode="External"/><Relationship Id="rId14" Type="http://schemas.openxmlformats.org/officeDocument/2006/relationships/hyperlink" Target="https://lcsc.com/product-detail/Wire-To-Board-Wire-To-Wire-Connector_JST-Sales-America_S4B-XH-A-1-LF-SN_JST-Sales-America-S4B-XH-A-1-LF-SN_C163037.html" TargetMode="External"/><Relationship Id="rId17" Type="http://schemas.openxmlformats.org/officeDocument/2006/relationships/hyperlink" Target="https://lcsc.com/product-detail/Pluggable-System-Terminal-Block_Ningbo-Kangnex-Elec-WJ15EDGRC-3-81-2P_C8387.html" TargetMode="External"/><Relationship Id="rId16" Type="http://schemas.openxmlformats.org/officeDocument/2006/relationships/hyperlink" Target="https://lcsc.com/product-detail/Pluggable-System-Terminal-Block_Ningbo-Kangnex-Elec-WJ2EDGRC-5-08-4P_C8446.html?fbclid=IwAR20A9WCjfTPLoimdSL6HPUaw0owxELAkYvYe-3uTRNEZchwfBCtOkYLhGw" TargetMode="External"/><Relationship Id="rId19" Type="http://schemas.openxmlformats.org/officeDocument/2006/relationships/hyperlink" Target="https://www.amazon.ca/KOOBOOK-TB6600HG-Stepper-Controller-Replace/dp/B07S9QBCBS/" TargetMode="External"/><Relationship Id="rId18" Type="http://schemas.openxmlformats.org/officeDocument/2006/relationships/hyperlink" Target="https://toshiba.semicon-storage.com/us/semiconductor/product/motor-driver-ics/stepping-motor-driver-ics/detail.TB6600HG.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7.88"/>
    <col customWidth="1" min="3" max="3" width="39.88"/>
    <col customWidth="1" min="4" max="4" width="10.25"/>
    <col customWidth="1" min="5" max="5" width="12.63"/>
    <col customWidth="1" min="6" max="6" width="18.5"/>
    <col customWidth="1" min="7" max="7" width="71.0"/>
  </cols>
  <sheetData>
    <row r="2">
      <c r="B2" s="1" t="s">
        <v>0</v>
      </c>
      <c r="C2" s="2"/>
      <c r="D2" s="2"/>
      <c r="E2" s="3" t="s">
        <v>1</v>
      </c>
    </row>
    <row r="3">
      <c r="B3" s="4" t="s">
        <v>2</v>
      </c>
      <c r="C3" s="5">
        <v>44397.0</v>
      </c>
      <c r="E3" s="6" t="s">
        <v>3</v>
      </c>
    </row>
    <row r="4">
      <c r="E4" s="7"/>
      <c r="F4" s="7"/>
      <c r="G4" s="8" t="s">
        <v>4</v>
      </c>
    </row>
    <row r="5">
      <c r="E5" s="7" t="s">
        <v>5</v>
      </c>
    </row>
    <row r="7">
      <c r="B7" s="9" t="s">
        <v>6</v>
      </c>
      <c r="C7" s="9" t="s">
        <v>7</v>
      </c>
      <c r="D7" s="10" t="s">
        <v>8</v>
      </c>
      <c r="E7" s="11" t="s">
        <v>9</v>
      </c>
      <c r="F7" s="11" t="s">
        <v>10</v>
      </c>
      <c r="G7" s="12" t="s">
        <v>11</v>
      </c>
    </row>
    <row r="8">
      <c r="B8" s="13" t="s">
        <v>12</v>
      </c>
      <c r="C8" s="14" t="s">
        <v>13</v>
      </c>
      <c r="D8" s="15">
        <v>1.0</v>
      </c>
      <c r="E8" s="16" t="s">
        <v>14</v>
      </c>
      <c r="F8" s="17"/>
      <c r="G8" s="18" t="s">
        <v>15</v>
      </c>
    </row>
    <row r="9">
      <c r="B9" s="19"/>
      <c r="C9" s="13"/>
      <c r="D9" s="17"/>
      <c r="E9" s="16"/>
      <c r="F9" s="17"/>
      <c r="G9" s="20"/>
    </row>
    <row r="10">
      <c r="B10" s="19" t="s">
        <v>16</v>
      </c>
      <c r="C10" s="19" t="s">
        <v>17</v>
      </c>
      <c r="D10" s="15">
        <v>4.0</v>
      </c>
      <c r="E10" s="16" t="s">
        <v>18</v>
      </c>
      <c r="F10" s="17" t="s">
        <v>19</v>
      </c>
      <c r="G10" s="21" t="s">
        <v>20</v>
      </c>
    </row>
    <row r="11">
      <c r="B11" s="19" t="s">
        <v>21</v>
      </c>
      <c r="C11" s="19" t="s">
        <v>22</v>
      </c>
      <c r="D11" s="17">
        <v>1.0</v>
      </c>
      <c r="E11" s="22" t="s">
        <v>23</v>
      </c>
      <c r="F11" s="17" t="s">
        <v>24</v>
      </c>
      <c r="G11" s="23" t="s">
        <v>25</v>
      </c>
    </row>
    <row r="12">
      <c r="B12" s="19" t="s">
        <v>26</v>
      </c>
      <c r="C12" s="19" t="s">
        <v>27</v>
      </c>
      <c r="D12" s="17">
        <v>1.0</v>
      </c>
      <c r="E12" s="22" t="s">
        <v>28</v>
      </c>
      <c r="F12" s="17" t="s">
        <v>29</v>
      </c>
      <c r="G12" s="23" t="s">
        <v>30</v>
      </c>
    </row>
    <row r="13">
      <c r="B13" s="19" t="s">
        <v>31</v>
      </c>
      <c r="C13" s="19" t="s">
        <v>32</v>
      </c>
      <c r="D13" s="17">
        <v>1.0</v>
      </c>
      <c r="E13" s="22" t="s">
        <v>33</v>
      </c>
      <c r="F13" s="17" t="s">
        <v>34</v>
      </c>
      <c r="G13" s="23" t="s">
        <v>35</v>
      </c>
    </row>
    <row r="14">
      <c r="B14" s="19" t="s">
        <v>36</v>
      </c>
      <c r="C14" s="19" t="s">
        <v>37</v>
      </c>
      <c r="D14" s="15">
        <v>1.0</v>
      </c>
      <c r="E14" s="16" t="s">
        <v>38</v>
      </c>
      <c r="F14" s="17" t="s">
        <v>39</v>
      </c>
      <c r="G14" s="23" t="s">
        <v>40</v>
      </c>
    </row>
    <row r="15">
      <c r="B15" s="19" t="s">
        <v>41</v>
      </c>
      <c r="C15" s="19" t="s">
        <v>42</v>
      </c>
      <c r="D15" s="15">
        <v>1.0</v>
      </c>
      <c r="E15" s="16" t="s">
        <v>43</v>
      </c>
      <c r="F15" s="17" t="s">
        <v>44</v>
      </c>
      <c r="G15" s="23" t="s">
        <v>45</v>
      </c>
    </row>
    <row r="16">
      <c r="B16" s="19" t="s">
        <v>46</v>
      </c>
      <c r="D16" s="15">
        <v>1.0</v>
      </c>
      <c r="E16" s="16" t="s">
        <v>47</v>
      </c>
      <c r="F16" s="17" t="s">
        <v>48</v>
      </c>
      <c r="G16" s="23" t="s">
        <v>49</v>
      </c>
    </row>
    <row r="17">
      <c r="B17" s="19" t="s">
        <v>50</v>
      </c>
      <c r="D17" s="15">
        <v>1.0</v>
      </c>
      <c r="E17" s="16" t="s">
        <v>51</v>
      </c>
      <c r="F17" s="17" t="s">
        <v>52</v>
      </c>
      <c r="G17" s="23" t="s">
        <v>53</v>
      </c>
    </row>
    <row r="18">
      <c r="B18" s="19" t="s">
        <v>54</v>
      </c>
      <c r="C18" s="19" t="s">
        <v>55</v>
      </c>
      <c r="D18" s="17">
        <v>1.0</v>
      </c>
      <c r="E18" s="22" t="s">
        <v>56</v>
      </c>
      <c r="F18" s="17" t="s">
        <v>57</v>
      </c>
      <c r="G18" s="23" t="s">
        <v>58</v>
      </c>
    </row>
    <row r="19">
      <c r="B19" s="19" t="s">
        <v>59</v>
      </c>
      <c r="C19" s="19" t="s">
        <v>60</v>
      </c>
      <c r="D19" s="15">
        <v>9.0</v>
      </c>
      <c r="E19" s="16" t="s">
        <v>61</v>
      </c>
      <c r="F19" s="17" t="s">
        <v>62</v>
      </c>
      <c r="G19" s="23" t="s">
        <v>63</v>
      </c>
    </row>
    <row r="20">
      <c r="B20" s="19" t="s">
        <v>64</v>
      </c>
      <c r="D20" s="15">
        <v>8.0</v>
      </c>
      <c r="E20" s="16" t="s">
        <v>65</v>
      </c>
      <c r="F20" s="17" t="s">
        <v>66</v>
      </c>
      <c r="G20" s="23" t="s">
        <v>67</v>
      </c>
    </row>
    <row r="21">
      <c r="B21" s="19" t="s">
        <v>68</v>
      </c>
      <c r="D21" s="15">
        <v>2.0</v>
      </c>
      <c r="E21" s="16" t="s">
        <v>69</v>
      </c>
      <c r="F21" s="17" t="s">
        <v>70</v>
      </c>
      <c r="G21" s="23" t="s">
        <v>71</v>
      </c>
    </row>
    <row r="22">
      <c r="B22" s="19" t="s">
        <v>72</v>
      </c>
      <c r="C22" s="19" t="s">
        <v>73</v>
      </c>
      <c r="D22" s="15">
        <v>9.0</v>
      </c>
      <c r="E22" s="16" t="s">
        <v>74</v>
      </c>
      <c r="F22" s="17" t="s">
        <v>75</v>
      </c>
      <c r="G22" s="24" t="s">
        <v>76</v>
      </c>
    </row>
    <row r="23">
      <c r="B23" s="19" t="s">
        <v>77</v>
      </c>
      <c r="C23" s="19" t="s">
        <v>78</v>
      </c>
      <c r="D23" s="17">
        <v>3.0</v>
      </c>
      <c r="E23" s="16" t="s">
        <v>79</v>
      </c>
      <c r="F23" s="17" t="s">
        <v>80</v>
      </c>
      <c r="G23" s="23" t="s">
        <v>81</v>
      </c>
    </row>
    <row r="24">
      <c r="B24" s="19" t="s">
        <v>82</v>
      </c>
      <c r="C24" s="19" t="s">
        <v>83</v>
      </c>
      <c r="D24" s="17">
        <v>1.0</v>
      </c>
      <c r="E24" s="22" t="s">
        <v>84</v>
      </c>
      <c r="F24" s="17" t="s">
        <v>85</v>
      </c>
      <c r="G24" s="23" t="s">
        <v>86</v>
      </c>
    </row>
    <row r="25">
      <c r="B25" s="19" t="s">
        <v>87</v>
      </c>
      <c r="D25" s="17">
        <v>2.0</v>
      </c>
      <c r="E25" s="22" t="s">
        <v>84</v>
      </c>
      <c r="F25" s="17" t="s">
        <v>88</v>
      </c>
      <c r="G25" s="23" t="s">
        <v>89</v>
      </c>
    </row>
    <row r="26">
      <c r="B26" s="19" t="s">
        <v>90</v>
      </c>
      <c r="D26" s="17">
        <v>1.0</v>
      </c>
      <c r="E26" s="22" t="s">
        <v>84</v>
      </c>
      <c r="F26" s="17" t="s">
        <v>91</v>
      </c>
      <c r="G26" s="23" t="s">
        <v>92</v>
      </c>
    </row>
    <row r="27">
      <c r="B27" s="19" t="s">
        <v>93</v>
      </c>
      <c r="C27" s="19" t="s">
        <v>94</v>
      </c>
      <c r="D27" s="17">
        <v>3.0</v>
      </c>
      <c r="E27" s="16" t="s">
        <v>95</v>
      </c>
      <c r="F27" s="17" t="s">
        <v>96</v>
      </c>
      <c r="G27" s="23" t="s">
        <v>97</v>
      </c>
    </row>
    <row r="28">
      <c r="B28" s="19" t="s">
        <v>98</v>
      </c>
      <c r="C28" s="19" t="s">
        <v>99</v>
      </c>
      <c r="D28" s="17">
        <v>1.0</v>
      </c>
      <c r="E28" s="22" t="s">
        <v>100</v>
      </c>
      <c r="F28" s="17" t="s">
        <v>101</v>
      </c>
      <c r="G28" s="23" t="s">
        <v>102</v>
      </c>
    </row>
    <row r="29">
      <c r="B29" s="19" t="s">
        <v>103</v>
      </c>
      <c r="C29" s="13" t="s">
        <v>104</v>
      </c>
      <c r="D29" s="17">
        <v>4.0</v>
      </c>
      <c r="E29" s="16" t="s">
        <v>105</v>
      </c>
      <c r="F29" s="17" t="s">
        <v>106</v>
      </c>
      <c r="G29" s="24" t="s">
        <v>107</v>
      </c>
    </row>
    <row r="30">
      <c r="B30" s="19" t="s">
        <v>108</v>
      </c>
      <c r="C30" s="19" t="s">
        <v>109</v>
      </c>
      <c r="D30" s="25">
        <v>5.0</v>
      </c>
      <c r="E30" s="16" t="s">
        <v>110</v>
      </c>
      <c r="F30" s="25" t="s">
        <v>111</v>
      </c>
      <c r="G30" s="23" t="s">
        <v>112</v>
      </c>
    </row>
    <row r="31">
      <c r="B31" s="26"/>
      <c r="C31" s="26"/>
      <c r="D31" s="27"/>
      <c r="E31" s="27"/>
      <c r="F31" s="27"/>
      <c r="G31" s="28"/>
      <c r="H31" s="26"/>
    </row>
    <row r="32">
      <c r="B32" s="13" t="s">
        <v>113</v>
      </c>
      <c r="C32" s="29" t="s">
        <v>114</v>
      </c>
      <c r="D32" s="16">
        <v>4.0</v>
      </c>
      <c r="E32" s="16" t="s">
        <v>115</v>
      </c>
      <c r="F32" s="27"/>
      <c r="G32" s="21" t="s">
        <v>116</v>
      </c>
      <c r="H32" s="26"/>
    </row>
    <row r="33">
      <c r="B33" s="19" t="s">
        <v>117</v>
      </c>
      <c r="C33" s="29" t="s">
        <v>118</v>
      </c>
      <c r="D33" s="16">
        <v>1.0</v>
      </c>
      <c r="E33" s="16" t="s">
        <v>119</v>
      </c>
      <c r="F33" s="27"/>
      <c r="G33" s="21" t="s">
        <v>120</v>
      </c>
      <c r="H33" s="26"/>
    </row>
    <row r="34">
      <c r="B34" s="30"/>
      <c r="C34" s="30"/>
      <c r="D34" s="16"/>
      <c r="E34" s="27"/>
      <c r="F34" s="27"/>
      <c r="G34" s="28"/>
      <c r="H34" s="26"/>
    </row>
    <row r="35">
      <c r="B35" s="19" t="s">
        <v>121</v>
      </c>
      <c r="C35" s="19" t="s">
        <v>122</v>
      </c>
      <c r="D35" s="16">
        <v>1.0</v>
      </c>
      <c r="E35" s="16" t="s">
        <v>123</v>
      </c>
      <c r="F35" s="25" t="s">
        <v>124</v>
      </c>
      <c r="G35" s="21" t="s">
        <v>125</v>
      </c>
      <c r="H35" s="26"/>
    </row>
    <row r="36">
      <c r="B36" s="19" t="s">
        <v>126</v>
      </c>
      <c r="C36" s="19" t="s">
        <v>127</v>
      </c>
      <c r="D36" s="16">
        <v>5.0</v>
      </c>
      <c r="E36" s="16" t="s">
        <v>123</v>
      </c>
      <c r="F36" s="25" t="s">
        <v>128</v>
      </c>
      <c r="G36" s="21" t="s">
        <v>129</v>
      </c>
      <c r="H36" s="26"/>
    </row>
    <row r="37">
      <c r="B37" s="31"/>
      <c r="C37" s="31"/>
      <c r="D37" s="32"/>
      <c r="E37" s="26"/>
      <c r="F37" s="26"/>
      <c r="G37" s="28"/>
      <c r="H37" s="26"/>
    </row>
    <row r="38">
      <c r="B38" s="31"/>
      <c r="C38" s="31"/>
      <c r="D38" s="32"/>
      <c r="E38" s="26"/>
      <c r="F38" s="26"/>
      <c r="G38" s="28"/>
      <c r="H38" s="26"/>
    </row>
    <row r="39">
      <c r="B39" s="33" t="s">
        <v>130</v>
      </c>
      <c r="C39" s="34"/>
      <c r="D39" s="35"/>
      <c r="E39" s="36"/>
      <c r="F39" s="36"/>
      <c r="G39" s="37"/>
      <c r="H39" s="26"/>
    </row>
    <row r="40">
      <c r="B40" s="19" t="s">
        <v>131</v>
      </c>
      <c r="C40" s="19" t="s">
        <v>132</v>
      </c>
      <c r="D40" s="16">
        <v>4.0</v>
      </c>
      <c r="E40" s="16" t="s">
        <v>123</v>
      </c>
      <c r="F40" s="25" t="s">
        <v>133</v>
      </c>
      <c r="G40" s="21" t="s">
        <v>134</v>
      </c>
      <c r="H40" s="26"/>
    </row>
    <row r="41">
      <c r="B41" s="19" t="s">
        <v>135</v>
      </c>
      <c r="C41" s="19" t="s">
        <v>136</v>
      </c>
      <c r="D41" s="16">
        <v>2.0</v>
      </c>
      <c r="E41" s="16" t="s">
        <v>123</v>
      </c>
      <c r="F41" s="25" t="s">
        <v>137</v>
      </c>
      <c r="G41" s="21" t="s">
        <v>138</v>
      </c>
      <c r="H41" s="26"/>
    </row>
    <row r="42">
      <c r="B42" s="38"/>
      <c r="C42" s="38"/>
      <c r="D42" s="32"/>
      <c r="E42" s="32"/>
      <c r="F42" s="26"/>
      <c r="G42" s="28"/>
      <c r="H42" s="26"/>
    </row>
    <row r="43">
      <c r="B43" s="38" t="s">
        <v>139</v>
      </c>
      <c r="C43" s="39" t="s">
        <v>140</v>
      </c>
      <c r="D43" s="15">
        <v>1.0</v>
      </c>
      <c r="E43" s="15" t="s">
        <v>141</v>
      </c>
      <c r="F43" s="26"/>
      <c r="G43" s="21" t="s">
        <v>142</v>
      </c>
      <c r="H43" s="26"/>
    </row>
    <row r="44">
      <c r="B44" s="38" t="s">
        <v>143</v>
      </c>
      <c r="C44" s="39" t="s">
        <v>144</v>
      </c>
      <c r="D44" s="15">
        <v>1.0</v>
      </c>
      <c r="E44" s="15" t="s">
        <v>141</v>
      </c>
      <c r="F44" s="26"/>
      <c r="G44" s="21" t="s">
        <v>145</v>
      </c>
      <c r="H44" s="26"/>
    </row>
    <row r="45">
      <c r="B45" s="39" t="s">
        <v>146</v>
      </c>
      <c r="C45" s="39" t="s">
        <v>147</v>
      </c>
      <c r="D45" s="15">
        <v>1.0</v>
      </c>
      <c r="E45" s="15" t="s">
        <v>148</v>
      </c>
      <c r="F45" s="26"/>
      <c r="G45" s="21" t="s">
        <v>149</v>
      </c>
      <c r="H45" s="26"/>
    </row>
    <row r="46">
      <c r="B46" s="38" t="s">
        <v>150</v>
      </c>
      <c r="C46" s="39" t="s">
        <v>151</v>
      </c>
      <c r="D46" s="15">
        <v>1.0</v>
      </c>
      <c r="E46" s="15" t="s">
        <v>152</v>
      </c>
      <c r="F46" s="26"/>
      <c r="G46" s="21" t="s">
        <v>153</v>
      </c>
      <c r="H46" s="26"/>
    </row>
    <row r="47">
      <c r="B47" s="38"/>
      <c r="C47" s="38"/>
      <c r="D47" s="32"/>
      <c r="E47" s="32"/>
      <c r="F47" s="26"/>
      <c r="G47" s="28"/>
      <c r="H47" s="26"/>
    </row>
    <row r="48">
      <c r="E48" s="32"/>
      <c r="F48" s="26"/>
      <c r="G48" s="28"/>
      <c r="H48" s="26"/>
    </row>
    <row r="49">
      <c r="B49" s="31"/>
      <c r="C49" s="40" t="s">
        <v>154</v>
      </c>
      <c r="D49" s="41">
        <f>COUNT(D8:D47)</f>
        <v>32</v>
      </c>
      <c r="E49" s="32"/>
      <c r="F49" s="26"/>
      <c r="G49" s="28"/>
      <c r="H49" s="26"/>
    </row>
    <row r="50">
      <c r="B50" s="26"/>
      <c r="C50" s="40" t="s">
        <v>155</v>
      </c>
      <c r="D50" s="42">
        <f>SUM(D8:D47)</f>
        <v>82</v>
      </c>
      <c r="E50" s="32"/>
      <c r="F50" s="26"/>
      <c r="G50" s="28"/>
      <c r="H50" s="26"/>
    </row>
    <row r="51">
      <c r="B51" s="26"/>
      <c r="C51" s="31"/>
      <c r="D51" s="32"/>
      <c r="E51" s="26"/>
      <c r="F51" s="26"/>
      <c r="G51" s="28"/>
      <c r="H51" s="26"/>
    </row>
    <row r="52">
      <c r="B52" s="26"/>
      <c r="C52" s="26"/>
      <c r="D52" s="32"/>
      <c r="E52" s="26"/>
      <c r="F52" s="26"/>
      <c r="G52" s="28"/>
      <c r="H52" s="26"/>
    </row>
    <row r="53">
      <c r="B53" s="26"/>
      <c r="C53" s="26"/>
      <c r="D53" s="26"/>
      <c r="E53" s="26"/>
      <c r="F53" s="26"/>
      <c r="G53" s="26"/>
      <c r="H53" s="26"/>
    </row>
    <row r="54">
      <c r="B54" s="26"/>
      <c r="C54" s="26"/>
      <c r="D54" s="26"/>
      <c r="E54" s="26"/>
      <c r="F54" s="26"/>
      <c r="G54" s="26"/>
      <c r="H54" s="26"/>
    </row>
    <row r="55">
      <c r="B55" s="26"/>
      <c r="C55" s="26"/>
      <c r="D55" s="26"/>
      <c r="E55" s="26"/>
      <c r="F55" s="26"/>
      <c r="G55" s="26"/>
      <c r="H55" s="26"/>
    </row>
    <row r="56">
      <c r="B56" s="26"/>
      <c r="C56" s="26"/>
      <c r="D56" s="26"/>
      <c r="E56" s="26"/>
      <c r="F56" s="26"/>
      <c r="G56" s="26"/>
      <c r="H56" s="26"/>
    </row>
  </sheetData>
  <mergeCells count="7">
    <mergeCell ref="E2:G2"/>
    <mergeCell ref="E3:G3"/>
    <mergeCell ref="E5:G5"/>
    <mergeCell ref="C15:C17"/>
    <mergeCell ref="C19:C21"/>
    <mergeCell ref="C24:C26"/>
    <mergeCell ref="B39:C39"/>
  </mergeCells>
  <hyperlinks>
    <hyperlink r:id="rId1" ref="E3"/>
    <hyperlink r:id="rId2" ref="G4"/>
    <hyperlink r:id="rId3" ref="G10"/>
    <hyperlink r:id="rId4" ref="G11"/>
    <hyperlink r:id="rId5" ref="G12"/>
    <hyperlink r:id="rId6" ref="G13"/>
    <hyperlink r:id="rId7" ref="G14"/>
    <hyperlink r:id="rId8" ref="G15"/>
    <hyperlink r:id="rId9" ref="G16"/>
    <hyperlink r:id="rId10" ref="G17"/>
    <hyperlink r:id="rId11" ref="G18"/>
    <hyperlink r:id="rId12" ref="G19"/>
    <hyperlink r:id="rId13" ref="G20"/>
    <hyperlink r:id="rId14" ref="G21"/>
    <hyperlink r:id="rId15" ref="G22"/>
    <hyperlink r:id="rId16" ref="G23"/>
    <hyperlink r:id="rId17" ref="G24"/>
    <hyperlink r:id="rId18" ref="G25"/>
    <hyperlink r:id="rId19" ref="G26"/>
    <hyperlink r:id="rId20" ref="G27"/>
    <hyperlink r:id="rId21" ref="G28"/>
    <hyperlink r:id="rId22" ref="G29"/>
    <hyperlink r:id="rId23" ref="G30"/>
    <hyperlink r:id="rId24" ref="C32"/>
    <hyperlink r:id="rId25" ref="G32"/>
    <hyperlink r:id="rId26" ref="C33"/>
    <hyperlink r:id="rId27" ref="G33"/>
    <hyperlink r:id="rId28" ref="G35"/>
    <hyperlink r:id="rId29" ref="G36"/>
    <hyperlink r:id="rId30" ref="G40"/>
    <hyperlink r:id="rId31" ref="G41"/>
    <hyperlink r:id="rId32" ref="G43"/>
    <hyperlink r:id="rId33" ref="G44"/>
    <hyperlink r:id="rId34" ref="G45"/>
    <hyperlink r:id="rId35" ref="G46"/>
  </hyperlinks>
  <drawing r:id="rId3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7.88"/>
    <col customWidth="1" min="3" max="3" width="39.88"/>
    <col customWidth="1" min="4" max="4" width="10.25"/>
    <col customWidth="1" min="5" max="5" width="12.63"/>
    <col customWidth="1" min="6" max="6" width="18.5"/>
    <col customWidth="1" min="7" max="7" width="71.0"/>
  </cols>
  <sheetData>
    <row r="2">
      <c r="B2" s="1" t="s">
        <v>156</v>
      </c>
      <c r="C2" s="2"/>
      <c r="D2" s="2"/>
      <c r="E2" s="3" t="s">
        <v>1</v>
      </c>
    </row>
    <row r="3">
      <c r="B3" s="4" t="s">
        <v>2</v>
      </c>
      <c r="C3" s="5">
        <v>44397.0</v>
      </c>
      <c r="E3" s="6" t="s">
        <v>157</v>
      </c>
    </row>
    <row r="4">
      <c r="E4" s="7"/>
      <c r="F4" s="7"/>
      <c r="G4" s="8" t="s">
        <v>4</v>
      </c>
    </row>
    <row r="5">
      <c r="E5" s="7" t="s">
        <v>5</v>
      </c>
    </row>
    <row r="7">
      <c r="B7" s="9" t="s">
        <v>6</v>
      </c>
      <c r="C7" s="9" t="s">
        <v>7</v>
      </c>
      <c r="D7" s="10" t="s">
        <v>8</v>
      </c>
      <c r="E7" s="11" t="s">
        <v>9</v>
      </c>
      <c r="F7" s="11" t="s">
        <v>10</v>
      </c>
      <c r="G7" s="12" t="s">
        <v>11</v>
      </c>
    </row>
    <row r="8">
      <c r="B8" s="13" t="s">
        <v>158</v>
      </c>
      <c r="C8" s="14" t="s">
        <v>159</v>
      </c>
      <c r="D8" s="15">
        <v>1.0</v>
      </c>
      <c r="E8" s="16" t="s">
        <v>14</v>
      </c>
      <c r="F8" s="17"/>
      <c r="G8" s="18" t="s">
        <v>15</v>
      </c>
    </row>
    <row r="9">
      <c r="B9" s="19"/>
      <c r="C9" s="13"/>
      <c r="D9" s="17"/>
      <c r="E9" s="16"/>
      <c r="F9" s="17"/>
      <c r="G9" s="20"/>
    </row>
    <row r="10">
      <c r="B10" s="19" t="s">
        <v>21</v>
      </c>
      <c r="C10" s="19" t="s">
        <v>22</v>
      </c>
      <c r="D10" s="17">
        <v>1.0</v>
      </c>
      <c r="E10" s="22" t="s">
        <v>23</v>
      </c>
      <c r="F10" s="17" t="s">
        <v>24</v>
      </c>
      <c r="G10" s="23" t="s">
        <v>25</v>
      </c>
    </row>
    <row r="11">
      <c r="B11" s="19" t="s">
        <v>160</v>
      </c>
      <c r="C11" s="19" t="s">
        <v>161</v>
      </c>
      <c r="D11" s="17">
        <v>1.0</v>
      </c>
      <c r="E11" s="22" t="s">
        <v>28</v>
      </c>
      <c r="F11" s="17" t="s">
        <v>162</v>
      </c>
      <c r="G11" s="23" t="s">
        <v>163</v>
      </c>
    </row>
    <row r="12">
      <c r="B12" s="19" t="s">
        <v>31</v>
      </c>
      <c r="C12" s="19" t="s">
        <v>32</v>
      </c>
      <c r="D12" s="17">
        <v>1.0</v>
      </c>
      <c r="E12" s="22" t="s">
        <v>33</v>
      </c>
      <c r="F12" s="17" t="s">
        <v>34</v>
      </c>
      <c r="G12" s="23" t="s">
        <v>35</v>
      </c>
    </row>
    <row r="13">
      <c r="B13" s="19" t="s">
        <v>54</v>
      </c>
      <c r="C13" s="19" t="s">
        <v>55</v>
      </c>
      <c r="D13" s="17">
        <v>1.0</v>
      </c>
      <c r="E13" s="22" t="s">
        <v>56</v>
      </c>
      <c r="F13" s="17" t="s">
        <v>164</v>
      </c>
      <c r="G13" s="23" t="s">
        <v>165</v>
      </c>
    </row>
    <row r="14">
      <c r="B14" s="19" t="s">
        <v>59</v>
      </c>
      <c r="C14" s="19" t="s">
        <v>166</v>
      </c>
      <c r="D14" s="15">
        <v>9.0</v>
      </c>
      <c r="E14" s="16" t="s">
        <v>61</v>
      </c>
      <c r="F14" s="17" t="s">
        <v>62</v>
      </c>
      <c r="G14" s="23" t="s">
        <v>63</v>
      </c>
    </row>
    <row r="15">
      <c r="B15" s="19" t="s">
        <v>64</v>
      </c>
      <c r="D15" s="17">
        <v>1.0</v>
      </c>
      <c r="E15" s="22" t="s">
        <v>167</v>
      </c>
      <c r="F15" s="17" t="s">
        <v>168</v>
      </c>
      <c r="G15" s="23" t="s">
        <v>169</v>
      </c>
    </row>
    <row r="16">
      <c r="B16" s="19" t="s">
        <v>68</v>
      </c>
      <c r="D16" s="17">
        <v>1.0</v>
      </c>
      <c r="E16" s="22" t="s">
        <v>170</v>
      </c>
      <c r="F16" s="17" t="s">
        <v>70</v>
      </c>
      <c r="G16" s="23" t="s">
        <v>71</v>
      </c>
    </row>
    <row r="17">
      <c r="B17" s="19" t="s">
        <v>77</v>
      </c>
      <c r="C17" s="19" t="s">
        <v>78</v>
      </c>
      <c r="D17" s="17">
        <v>3.0</v>
      </c>
      <c r="E17" s="16" t="s">
        <v>79</v>
      </c>
      <c r="F17" s="17" t="s">
        <v>80</v>
      </c>
      <c r="G17" s="23" t="s">
        <v>81</v>
      </c>
    </row>
    <row r="18">
      <c r="B18" s="19" t="s">
        <v>82</v>
      </c>
      <c r="C18" s="19" t="s">
        <v>83</v>
      </c>
      <c r="D18" s="17">
        <v>1.0</v>
      </c>
      <c r="E18" s="22" t="s">
        <v>84</v>
      </c>
      <c r="F18" s="17" t="s">
        <v>85</v>
      </c>
      <c r="G18" s="23" t="s">
        <v>86</v>
      </c>
    </row>
    <row r="19">
      <c r="B19" s="19" t="s">
        <v>87</v>
      </c>
      <c r="D19" s="17">
        <v>2.0</v>
      </c>
      <c r="E19" s="22" t="s">
        <v>84</v>
      </c>
      <c r="F19" s="17" t="s">
        <v>88</v>
      </c>
      <c r="G19" s="23" t="s">
        <v>89</v>
      </c>
    </row>
    <row r="20">
      <c r="B20" s="19" t="s">
        <v>90</v>
      </c>
      <c r="D20" s="17">
        <v>1.0</v>
      </c>
      <c r="E20" s="22" t="s">
        <v>84</v>
      </c>
      <c r="F20" s="17" t="s">
        <v>91</v>
      </c>
      <c r="G20" s="23" t="s">
        <v>92</v>
      </c>
    </row>
    <row r="21">
      <c r="B21" s="19" t="s">
        <v>93</v>
      </c>
      <c r="C21" s="19" t="s">
        <v>94</v>
      </c>
      <c r="D21" s="17">
        <v>3.0</v>
      </c>
      <c r="E21" s="16" t="s">
        <v>95</v>
      </c>
      <c r="F21" s="17" t="s">
        <v>96</v>
      </c>
      <c r="G21" s="23" t="s">
        <v>97</v>
      </c>
    </row>
    <row r="22">
      <c r="B22" s="19" t="s">
        <v>98</v>
      </c>
      <c r="C22" s="19" t="s">
        <v>99</v>
      </c>
      <c r="D22" s="17">
        <v>1.0</v>
      </c>
      <c r="E22" s="22" t="s">
        <v>100</v>
      </c>
      <c r="F22" s="17" t="s">
        <v>101</v>
      </c>
      <c r="G22" s="23" t="s">
        <v>102</v>
      </c>
    </row>
    <row r="23">
      <c r="B23" s="19" t="s">
        <v>103</v>
      </c>
      <c r="C23" s="13" t="s">
        <v>104</v>
      </c>
      <c r="D23" s="17">
        <v>4.0</v>
      </c>
      <c r="E23" s="16" t="s">
        <v>105</v>
      </c>
      <c r="F23" s="17" t="s">
        <v>106</v>
      </c>
      <c r="G23" s="24" t="s">
        <v>107</v>
      </c>
    </row>
    <row r="24">
      <c r="B24" s="19" t="s">
        <v>108</v>
      </c>
      <c r="C24" s="19" t="s">
        <v>109</v>
      </c>
      <c r="D24" s="25">
        <v>5.0</v>
      </c>
      <c r="E24" s="16" t="s">
        <v>110</v>
      </c>
      <c r="F24" s="25" t="s">
        <v>111</v>
      </c>
      <c r="G24" s="23" t="s">
        <v>112</v>
      </c>
    </row>
    <row r="25">
      <c r="B25" s="26"/>
      <c r="C25" s="26"/>
      <c r="D25" s="27"/>
      <c r="E25" s="27"/>
      <c r="F25" s="27"/>
      <c r="G25" s="28"/>
      <c r="H25" s="26"/>
    </row>
    <row r="26">
      <c r="B26" s="13" t="s">
        <v>113</v>
      </c>
      <c r="C26" s="29" t="s">
        <v>171</v>
      </c>
      <c r="D26" s="16">
        <v>4.0</v>
      </c>
      <c r="E26" s="16" t="s">
        <v>115</v>
      </c>
      <c r="F26" s="27"/>
      <c r="G26" s="21" t="s">
        <v>116</v>
      </c>
      <c r="H26" s="26"/>
    </row>
    <row r="27">
      <c r="B27" s="19" t="s">
        <v>117</v>
      </c>
      <c r="C27" s="29" t="s">
        <v>172</v>
      </c>
      <c r="D27" s="16">
        <v>1.0</v>
      </c>
      <c r="E27" s="16" t="s">
        <v>119</v>
      </c>
      <c r="F27" s="27"/>
      <c r="G27" s="21" t="s">
        <v>120</v>
      </c>
      <c r="H27" s="26"/>
    </row>
    <row r="28">
      <c r="B28" s="30"/>
      <c r="C28" s="30"/>
      <c r="D28" s="16"/>
      <c r="E28" s="27"/>
      <c r="F28" s="27"/>
      <c r="G28" s="28"/>
      <c r="H28" s="26"/>
    </row>
    <row r="29">
      <c r="B29" s="19" t="s">
        <v>121</v>
      </c>
      <c r="C29" s="19" t="s">
        <v>122</v>
      </c>
      <c r="D29" s="16">
        <v>1.0</v>
      </c>
      <c r="E29" s="16" t="s">
        <v>123</v>
      </c>
      <c r="F29" s="25" t="s">
        <v>124</v>
      </c>
      <c r="G29" s="21" t="s">
        <v>125</v>
      </c>
      <c r="H29" s="26"/>
    </row>
    <row r="30">
      <c r="B30" s="19" t="s">
        <v>126</v>
      </c>
      <c r="C30" s="19" t="s">
        <v>127</v>
      </c>
      <c r="D30" s="16">
        <v>5.0</v>
      </c>
      <c r="E30" s="16" t="s">
        <v>123</v>
      </c>
      <c r="F30" s="25" t="s">
        <v>128</v>
      </c>
      <c r="G30" s="21" t="s">
        <v>129</v>
      </c>
      <c r="H30" s="26"/>
    </row>
    <row r="31">
      <c r="B31" s="31"/>
      <c r="C31" s="31"/>
      <c r="D31" s="32"/>
      <c r="E31" s="26"/>
      <c r="F31" s="26"/>
      <c r="G31" s="28"/>
      <c r="H31" s="26"/>
    </row>
    <row r="32">
      <c r="B32" s="31"/>
      <c r="C32" s="31"/>
      <c r="D32" s="32"/>
      <c r="E32" s="26"/>
      <c r="F32" s="26"/>
      <c r="G32" s="28"/>
      <c r="H32" s="26"/>
    </row>
    <row r="33">
      <c r="B33" s="33" t="s">
        <v>130</v>
      </c>
      <c r="C33" s="34"/>
      <c r="D33" s="35"/>
      <c r="E33" s="36"/>
      <c r="F33" s="36"/>
      <c r="G33" s="37"/>
      <c r="H33" s="26"/>
    </row>
    <row r="34">
      <c r="B34" s="19" t="s">
        <v>131</v>
      </c>
      <c r="C34" s="19" t="s">
        <v>132</v>
      </c>
      <c r="D34" s="16">
        <v>4.0</v>
      </c>
      <c r="E34" s="16" t="s">
        <v>123</v>
      </c>
      <c r="F34" s="25" t="s">
        <v>133</v>
      </c>
      <c r="G34" s="21" t="s">
        <v>134</v>
      </c>
      <c r="H34" s="26"/>
    </row>
    <row r="35">
      <c r="B35" s="19" t="s">
        <v>135</v>
      </c>
      <c r="C35" s="19" t="s">
        <v>173</v>
      </c>
      <c r="D35" s="16">
        <v>1.0</v>
      </c>
      <c r="E35" s="16" t="s">
        <v>123</v>
      </c>
      <c r="F35" s="25" t="s">
        <v>137</v>
      </c>
      <c r="G35" s="21" t="s">
        <v>138</v>
      </c>
      <c r="H35" s="26"/>
    </row>
    <row r="36">
      <c r="B36" s="38"/>
      <c r="C36" s="38"/>
      <c r="D36" s="32"/>
      <c r="E36" s="32"/>
      <c r="F36" s="26"/>
      <c r="G36" s="28"/>
      <c r="H36" s="26"/>
    </row>
    <row r="37">
      <c r="B37" s="38" t="s">
        <v>139</v>
      </c>
      <c r="C37" s="39" t="s">
        <v>140</v>
      </c>
      <c r="D37" s="15">
        <v>1.0</v>
      </c>
      <c r="E37" s="15" t="s">
        <v>141</v>
      </c>
      <c r="F37" s="26"/>
      <c r="G37" s="21" t="s">
        <v>142</v>
      </c>
      <c r="H37" s="26"/>
    </row>
    <row r="38">
      <c r="B38" s="38" t="s">
        <v>143</v>
      </c>
      <c r="C38" s="39" t="s">
        <v>144</v>
      </c>
      <c r="D38" s="15">
        <v>1.0</v>
      </c>
      <c r="E38" s="15" t="s">
        <v>141</v>
      </c>
      <c r="F38" s="26"/>
      <c r="G38" s="21" t="s">
        <v>145</v>
      </c>
      <c r="H38" s="26"/>
    </row>
    <row r="39">
      <c r="B39" s="38" t="s">
        <v>150</v>
      </c>
      <c r="C39" s="39" t="s">
        <v>151</v>
      </c>
      <c r="D39" s="15">
        <v>1.0</v>
      </c>
      <c r="E39" s="15" t="s">
        <v>152</v>
      </c>
      <c r="F39" s="26"/>
      <c r="G39" s="21" t="s">
        <v>153</v>
      </c>
      <c r="H39" s="26"/>
    </row>
    <row r="40">
      <c r="B40" s="38"/>
      <c r="C40" s="38"/>
      <c r="D40" s="32"/>
      <c r="E40" s="32"/>
      <c r="F40" s="26"/>
      <c r="G40" s="28"/>
      <c r="H40" s="26"/>
    </row>
    <row r="41">
      <c r="C41" s="40" t="s">
        <v>154</v>
      </c>
      <c r="D41" s="41">
        <f>COUNT(D8:D40)</f>
        <v>25</v>
      </c>
      <c r="E41" s="32"/>
      <c r="F41" s="26"/>
      <c r="G41" s="28"/>
      <c r="H41" s="26"/>
    </row>
    <row r="42">
      <c r="B42" s="31"/>
      <c r="C42" s="40" t="s">
        <v>155</v>
      </c>
      <c r="D42" s="42">
        <f>SUM(D8:D40)</f>
        <v>55</v>
      </c>
      <c r="E42" s="32"/>
      <c r="F42" s="26"/>
      <c r="G42" s="28"/>
      <c r="H42" s="26"/>
    </row>
    <row r="43">
      <c r="B43" s="26"/>
      <c r="C43" s="31"/>
      <c r="D43" s="32"/>
      <c r="E43" s="32"/>
      <c r="F43" s="26"/>
      <c r="G43" s="28"/>
      <c r="H43" s="26"/>
    </row>
    <row r="44">
      <c r="B44" s="26"/>
      <c r="C44" s="31"/>
      <c r="D44" s="32"/>
      <c r="E44" s="26"/>
      <c r="F44" s="26"/>
      <c r="G44" s="28"/>
      <c r="H44" s="26"/>
    </row>
    <row r="45">
      <c r="B45" s="26"/>
      <c r="C45" s="26"/>
      <c r="D45" s="32"/>
      <c r="E45" s="26"/>
      <c r="F45" s="26"/>
      <c r="G45" s="28"/>
      <c r="H45" s="26"/>
    </row>
    <row r="46">
      <c r="B46" s="26"/>
      <c r="C46" s="26"/>
      <c r="D46" s="26"/>
      <c r="E46" s="26"/>
      <c r="F46" s="26"/>
      <c r="G46" s="26"/>
      <c r="H46" s="26"/>
    </row>
    <row r="47">
      <c r="B47" s="26"/>
      <c r="C47" s="26"/>
      <c r="D47" s="26"/>
      <c r="E47" s="26"/>
      <c r="F47" s="26"/>
      <c r="G47" s="26"/>
      <c r="H47" s="26"/>
    </row>
    <row r="48">
      <c r="B48" s="26"/>
      <c r="C48" s="26"/>
      <c r="D48" s="26"/>
      <c r="E48" s="26"/>
      <c r="F48" s="26"/>
      <c r="G48" s="26"/>
      <c r="H48" s="26"/>
    </row>
    <row r="49">
      <c r="B49" s="26"/>
      <c r="C49" s="26"/>
      <c r="D49" s="26"/>
      <c r="E49" s="26"/>
      <c r="F49" s="26"/>
      <c r="G49" s="26"/>
      <c r="H49" s="26"/>
    </row>
    <row r="59">
      <c r="B59" s="38"/>
      <c r="C59" s="38"/>
      <c r="D59" s="15"/>
    </row>
  </sheetData>
  <mergeCells count="6">
    <mergeCell ref="E2:G2"/>
    <mergeCell ref="E3:G3"/>
    <mergeCell ref="E5:G5"/>
    <mergeCell ref="C14:C16"/>
    <mergeCell ref="C18:C20"/>
    <mergeCell ref="B33:C33"/>
  </mergeCells>
  <hyperlinks>
    <hyperlink r:id="rId1" ref="E3"/>
    <hyperlink r:id="rId2" ref="G4"/>
    <hyperlink r:id="rId3" ref="G10"/>
    <hyperlink r:id="rId4" ref="G11"/>
    <hyperlink r:id="rId5" ref="G12"/>
    <hyperlink r:id="rId6" ref="G13"/>
    <hyperlink r:id="rId7" ref="G14"/>
    <hyperlink r:id="rId8" ref="G15"/>
    <hyperlink r:id="rId9" ref="G16"/>
    <hyperlink r:id="rId10" ref="G17"/>
    <hyperlink r:id="rId11" ref="G18"/>
    <hyperlink r:id="rId12" ref="G19"/>
    <hyperlink r:id="rId13" ref="G20"/>
    <hyperlink r:id="rId14" ref="G21"/>
    <hyperlink r:id="rId15" ref="G22"/>
    <hyperlink r:id="rId16" ref="G23"/>
    <hyperlink r:id="rId17" ref="G24"/>
    <hyperlink r:id="rId18" ref="C26"/>
    <hyperlink r:id="rId19" ref="G26"/>
    <hyperlink r:id="rId20" ref="C27"/>
    <hyperlink r:id="rId21" ref="G27"/>
    <hyperlink r:id="rId22" ref="G29"/>
    <hyperlink r:id="rId23" ref="G30"/>
    <hyperlink r:id="rId24" ref="G34"/>
    <hyperlink r:id="rId25" ref="G35"/>
    <hyperlink r:id="rId26" ref="G37"/>
    <hyperlink r:id="rId27" ref="G38"/>
    <hyperlink r:id="rId28" ref="G39"/>
  </hyperlinks>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7.88"/>
    <col customWidth="1" min="3" max="3" width="39.88"/>
    <col customWidth="1" min="4" max="4" width="10.25"/>
    <col customWidth="1" min="5" max="5" width="12.63"/>
    <col customWidth="1" min="6" max="6" width="18.5"/>
    <col customWidth="1" min="7" max="7" width="71.0"/>
  </cols>
  <sheetData>
    <row r="2">
      <c r="B2" s="1" t="s">
        <v>174</v>
      </c>
      <c r="C2" s="2"/>
      <c r="D2" s="2"/>
      <c r="E2" s="3" t="s">
        <v>1</v>
      </c>
    </row>
    <row r="3">
      <c r="B3" s="4" t="s">
        <v>2</v>
      </c>
      <c r="C3" s="5">
        <v>44397.0</v>
      </c>
      <c r="E3" s="6" t="s">
        <v>175</v>
      </c>
    </row>
    <row r="4">
      <c r="E4" s="7"/>
      <c r="F4" s="7"/>
      <c r="G4" s="8" t="s">
        <v>4</v>
      </c>
    </row>
    <row r="5">
      <c r="E5" s="7" t="s">
        <v>5</v>
      </c>
    </row>
    <row r="7">
      <c r="B7" s="9" t="s">
        <v>6</v>
      </c>
      <c r="C7" s="9" t="s">
        <v>7</v>
      </c>
      <c r="D7" s="10" t="s">
        <v>8</v>
      </c>
      <c r="E7" s="11" t="s">
        <v>9</v>
      </c>
      <c r="F7" s="11" t="s">
        <v>10</v>
      </c>
      <c r="G7" s="12" t="s">
        <v>11</v>
      </c>
    </row>
    <row r="8">
      <c r="B8" s="13" t="s">
        <v>176</v>
      </c>
      <c r="C8" s="14" t="s">
        <v>177</v>
      </c>
      <c r="D8" s="15">
        <v>1.0</v>
      </c>
      <c r="E8" s="16" t="s">
        <v>14</v>
      </c>
      <c r="F8" s="17"/>
      <c r="G8" s="19" t="s">
        <v>178</v>
      </c>
    </row>
    <row r="9">
      <c r="B9" s="19"/>
      <c r="C9" s="13"/>
      <c r="D9" s="17"/>
      <c r="E9" s="16"/>
      <c r="F9" s="17"/>
      <c r="G9" s="20"/>
    </row>
    <row r="10">
      <c r="B10" s="19" t="s">
        <v>21</v>
      </c>
      <c r="C10" s="19" t="s">
        <v>22</v>
      </c>
      <c r="D10" s="17">
        <v>1.0</v>
      </c>
      <c r="E10" s="22" t="s">
        <v>23</v>
      </c>
      <c r="F10" s="17" t="s">
        <v>24</v>
      </c>
      <c r="G10" s="23" t="s">
        <v>25</v>
      </c>
    </row>
    <row r="11">
      <c r="B11" s="19" t="s">
        <v>160</v>
      </c>
      <c r="C11" s="19" t="s">
        <v>161</v>
      </c>
      <c r="D11" s="17">
        <v>1.0</v>
      </c>
      <c r="E11" s="22" t="s">
        <v>28</v>
      </c>
      <c r="F11" s="17" t="s">
        <v>162</v>
      </c>
      <c r="G11" s="23" t="s">
        <v>163</v>
      </c>
    </row>
    <row r="12">
      <c r="B12" s="19" t="s">
        <v>31</v>
      </c>
      <c r="C12" s="19" t="s">
        <v>32</v>
      </c>
      <c r="D12" s="17">
        <v>1.0</v>
      </c>
      <c r="E12" s="22" t="s">
        <v>33</v>
      </c>
      <c r="F12" s="17" t="s">
        <v>34</v>
      </c>
      <c r="G12" s="23" t="s">
        <v>35</v>
      </c>
    </row>
    <row r="13">
      <c r="B13" s="19" t="s">
        <v>54</v>
      </c>
      <c r="C13" s="19" t="s">
        <v>55</v>
      </c>
      <c r="D13" s="17">
        <v>1.0</v>
      </c>
      <c r="E13" s="22" t="s">
        <v>56</v>
      </c>
      <c r="F13" s="17" t="s">
        <v>164</v>
      </c>
      <c r="G13" s="23" t="s">
        <v>165</v>
      </c>
    </row>
    <row r="14">
      <c r="B14" s="19" t="s">
        <v>59</v>
      </c>
      <c r="C14" s="19" t="s">
        <v>179</v>
      </c>
      <c r="D14" s="17">
        <v>2.0</v>
      </c>
      <c r="E14" s="22" t="s">
        <v>180</v>
      </c>
      <c r="F14" s="17" t="s">
        <v>62</v>
      </c>
      <c r="G14" s="23" t="s">
        <v>63</v>
      </c>
    </row>
    <row r="15">
      <c r="B15" s="19" t="s">
        <v>64</v>
      </c>
      <c r="D15" s="17">
        <v>1.0</v>
      </c>
      <c r="E15" s="22" t="s">
        <v>167</v>
      </c>
      <c r="F15" s="17" t="s">
        <v>168</v>
      </c>
      <c r="G15" s="23" t="s">
        <v>169</v>
      </c>
    </row>
    <row r="16">
      <c r="B16" s="19" t="s">
        <v>68</v>
      </c>
      <c r="D16" s="17">
        <v>1.0</v>
      </c>
      <c r="E16" s="22" t="s">
        <v>170</v>
      </c>
      <c r="F16" s="17" t="s">
        <v>70</v>
      </c>
      <c r="G16" s="23" t="s">
        <v>71</v>
      </c>
    </row>
    <row r="17">
      <c r="B17" s="19" t="s">
        <v>77</v>
      </c>
      <c r="C17" s="19" t="s">
        <v>78</v>
      </c>
      <c r="D17" s="17">
        <v>3.0</v>
      </c>
      <c r="E17" s="16" t="s">
        <v>79</v>
      </c>
      <c r="F17" s="17" t="s">
        <v>80</v>
      </c>
      <c r="G17" s="23" t="s">
        <v>81</v>
      </c>
    </row>
    <row r="18">
      <c r="B18" s="19" t="s">
        <v>82</v>
      </c>
      <c r="C18" s="19" t="s">
        <v>83</v>
      </c>
      <c r="D18" s="17">
        <v>1.0</v>
      </c>
      <c r="E18" s="22" t="s">
        <v>84</v>
      </c>
      <c r="F18" s="17" t="s">
        <v>85</v>
      </c>
      <c r="G18" s="23" t="s">
        <v>86</v>
      </c>
    </row>
    <row r="19">
      <c r="B19" s="19" t="s">
        <v>87</v>
      </c>
      <c r="D19" s="17">
        <v>2.0</v>
      </c>
      <c r="E19" s="22" t="s">
        <v>84</v>
      </c>
      <c r="F19" s="17" t="s">
        <v>88</v>
      </c>
      <c r="G19" s="23" t="s">
        <v>89</v>
      </c>
    </row>
    <row r="20">
      <c r="B20" s="19" t="s">
        <v>90</v>
      </c>
      <c r="D20" s="17">
        <v>1.0</v>
      </c>
      <c r="E20" s="22" t="s">
        <v>84</v>
      </c>
      <c r="F20" s="17" t="s">
        <v>91</v>
      </c>
      <c r="G20" s="23" t="s">
        <v>92</v>
      </c>
    </row>
    <row r="21">
      <c r="B21" s="19" t="s">
        <v>93</v>
      </c>
      <c r="C21" s="19" t="s">
        <v>94</v>
      </c>
      <c r="D21" s="17">
        <v>3.0</v>
      </c>
      <c r="E21" s="16" t="s">
        <v>95</v>
      </c>
      <c r="F21" s="17" t="s">
        <v>96</v>
      </c>
      <c r="G21" s="23" t="s">
        <v>97</v>
      </c>
    </row>
    <row r="22">
      <c r="B22" s="19" t="s">
        <v>98</v>
      </c>
      <c r="C22" s="19" t="s">
        <v>99</v>
      </c>
      <c r="D22" s="17">
        <v>1.0</v>
      </c>
      <c r="E22" s="22" t="s">
        <v>100</v>
      </c>
      <c r="F22" s="17" t="s">
        <v>101</v>
      </c>
      <c r="G22" s="23" t="s">
        <v>102</v>
      </c>
    </row>
    <row r="23">
      <c r="B23" s="19" t="s">
        <v>103</v>
      </c>
      <c r="C23" s="13" t="s">
        <v>104</v>
      </c>
      <c r="D23" s="17">
        <v>4.0</v>
      </c>
      <c r="E23" s="16" t="s">
        <v>105</v>
      </c>
      <c r="F23" s="17" t="s">
        <v>106</v>
      </c>
      <c r="G23" s="24" t="s">
        <v>107</v>
      </c>
    </row>
    <row r="24">
      <c r="B24" s="19" t="s">
        <v>108</v>
      </c>
      <c r="C24" s="19" t="s">
        <v>109</v>
      </c>
      <c r="D24" s="25">
        <v>5.0</v>
      </c>
      <c r="E24" s="16" t="s">
        <v>110</v>
      </c>
      <c r="F24" s="25" t="s">
        <v>111</v>
      </c>
      <c r="G24" s="23" t="s">
        <v>112</v>
      </c>
    </row>
    <row r="25">
      <c r="B25" s="26"/>
      <c r="C25" s="26"/>
      <c r="D25" s="27"/>
      <c r="E25" s="27"/>
      <c r="F25" s="27"/>
      <c r="G25" s="28"/>
      <c r="H25" s="26"/>
    </row>
    <row r="26">
      <c r="B26" s="13" t="s">
        <v>113</v>
      </c>
      <c r="C26" s="29" t="s">
        <v>181</v>
      </c>
      <c r="D26" s="16">
        <v>4.0</v>
      </c>
      <c r="E26" s="16" t="s">
        <v>115</v>
      </c>
      <c r="F26" s="27"/>
      <c r="G26" s="21" t="s">
        <v>116</v>
      </c>
      <c r="H26" s="26"/>
    </row>
    <row r="27">
      <c r="B27" s="19" t="s">
        <v>117</v>
      </c>
      <c r="C27" s="29" t="s">
        <v>182</v>
      </c>
      <c r="D27" s="16">
        <v>1.0</v>
      </c>
      <c r="E27" s="16" t="s">
        <v>119</v>
      </c>
      <c r="F27" s="27"/>
      <c r="G27" s="21" t="s">
        <v>120</v>
      </c>
      <c r="H27" s="26"/>
    </row>
    <row r="28">
      <c r="B28" s="30"/>
      <c r="C28" s="30"/>
      <c r="D28" s="16"/>
      <c r="E28" s="27"/>
      <c r="F28" s="27"/>
      <c r="G28" s="28"/>
      <c r="H28" s="26"/>
    </row>
    <row r="29">
      <c r="B29" s="19" t="s">
        <v>121</v>
      </c>
      <c r="C29" s="19" t="s">
        <v>122</v>
      </c>
      <c r="D29" s="16">
        <v>1.0</v>
      </c>
      <c r="E29" s="16" t="s">
        <v>123</v>
      </c>
      <c r="F29" s="25" t="s">
        <v>124</v>
      </c>
      <c r="G29" s="21" t="s">
        <v>125</v>
      </c>
      <c r="H29" s="26"/>
    </row>
    <row r="30">
      <c r="B30" s="19" t="s">
        <v>126</v>
      </c>
      <c r="C30" s="19" t="s">
        <v>127</v>
      </c>
      <c r="D30" s="16">
        <v>5.0</v>
      </c>
      <c r="E30" s="16" t="s">
        <v>123</v>
      </c>
      <c r="F30" s="25" t="s">
        <v>128</v>
      </c>
      <c r="G30" s="21" t="s">
        <v>129</v>
      </c>
      <c r="H30" s="26"/>
    </row>
    <row r="31">
      <c r="B31" s="31"/>
      <c r="C31" s="31"/>
      <c r="D31" s="32"/>
      <c r="E31" s="26"/>
      <c r="F31" s="26"/>
      <c r="G31" s="28"/>
      <c r="H31" s="26"/>
    </row>
    <row r="32">
      <c r="B32" s="31"/>
      <c r="C32" s="31"/>
      <c r="D32" s="32"/>
      <c r="E32" s="26"/>
      <c r="F32" s="26"/>
      <c r="G32" s="28"/>
      <c r="H32" s="26"/>
    </row>
    <row r="33">
      <c r="B33" s="33" t="s">
        <v>130</v>
      </c>
      <c r="C33" s="34"/>
      <c r="D33" s="35"/>
      <c r="E33" s="36"/>
      <c r="F33" s="36"/>
      <c r="G33" s="37"/>
      <c r="H33" s="26"/>
    </row>
    <row r="34">
      <c r="B34" s="19" t="s">
        <v>131</v>
      </c>
      <c r="C34" s="19" t="s">
        <v>132</v>
      </c>
      <c r="D34" s="16">
        <v>4.0</v>
      </c>
      <c r="E34" s="16" t="s">
        <v>123</v>
      </c>
      <c r="F34" s="25" t="s">
        <v>133</v>
      </c>
      <c r="G34" s="21" t="s">
        <v>134</v>
      </c>
      <c r="H34" s="26"/>
    </row>
    <row r="35">
      <c r="B35" s="19" t="s">
        <v>135</v>
      </c>
      <c r="C35" s="19" t="s">
        <v>173</v>
      </c>
      <c r="D35" s="16">
        <v>1.0</v>
      </c>
      <c r="E35" s="16" t="s">
        <v>123</v>
      </c>
      <c r="F35" s="25" t="s">
        <v>137</v>
      </c>
      <c r="G35" s="21" t="s">
        <v>138</v>
      </c>
      <c r="H35" s="26"/>
    </row>
    <row r="36">
      <c r="B36" s="38"/>
      <c r="C36" s="38"/>
      <c r="D36" s="32"/>
      <c r="E36" s="32"/>
      <c r="F36" s="26"/>
      <c r="G36" s="28"/>
      <c r="H36" s="26"/>
    </row>
    <row r="37">
      <c r="B37" s="38" t="s">
        <v>139</v>
      </c>
      <c r="C37" s="39" t="s">
        <v>140</v>
      </c>
      <c r="D37" s="15">
        <v>1.0</v>
      </c>
      <c r="E37" s="15" t="s">
        <v>141</v>
      </c>
      <c r="F37" s="26"/>
      <c r="G37" s="21" t="s">
        <v>142</v>
      </c>
      <c r="H37" s="26"/>
    </row>
    <row r="38">
      <c r="B38" s="38" t="s">
        <v>143</v>
      </c>
      <c r="C38" s="39" t="s">
        <v>144</v>
      </c>
      <c r="D38" s="15">
        <v>1.0</v>
      </c>
      <c r="E38" s="15" t="s">
        <v>141</v>
      </c>
      <c r="F38" s="26"/>
      <c r="G38" s="21" t="s">
        <v>145</v>
      </c>
      <c r="H38" s="26"/>
    </row>
    <row r="39">
      <c r="B39" s="38" t="s">
        <v>150</v>
      </c>
      <c r="C39" s="39" t="s">
        <v>151</v>
      </c>
      <c r="D39" s="15">
        <v>1.0</v>
      </c>
      <c r="E39" s="15" t="s">
        <v>152</v>
      </c>
      <c r="F39" s="26"/>
      <c r="G39" s="21" t="s">
        <v>153</v>
      </c>
      <c r="H39" s="26"/>
    </row>
    <row r="40">
      <c r="B40" s="38"/>
      <c r="C40" s="38"/>
      <c r="D40" s="32"/>
      <c r="E40" s="32"/>
      <c r="F40" s="26"/>
      <c r="G40" s="28"/>
      <c r="H40" s="26"/>
    </row>
    <row r="41">
      <c r="C41" s="40" t="s">
        <v>154</v>
      </c>
      <c r="D41" s="41">
        <f>COUNT(D8:D40)</f>
        <v>25</v>
      </c>
      <c r="E41" s="32"/>
      <c r="F41" s="26"/>
      <c r="G41" s="28"/>
      <c r="H41" s="26"/>
    </row>
    <row r="42">
      <c r="B42" s="31"/>
      <c r="C42" s="40" t="s">
        <v>155</v>
      </c>
      <c r="D42" s="42">
        <f>SUM(D8:D40)</f>
        <v>48</v>
      </c>
      <c r="E42" s="32"/>
      <c r="F42" s="26"/>
      <c r="G42" s="28"/>
      <c r="H42" s="26"/>
    </row>
    <row r="43">
      <c r="B43" s="26"/>
      <c r="C43" s="31"/>
      <c r="D43" s="32"/>
      <c r="E43" s="32"/>
      <c r="F43" s="26"/>
      <c r="G43" s="28"/>
      <c r="H43" s="26"/>
    </row>
    <row r="44">
      <c r="B44" s="26"/>
      <c r="C44" s="31"/>
      <c r="D44" s="32"/>
      <c r="E44" s="26"/>
      <c r="F44" s="26"/>
      <c r="G44" s="28"/>
      <c r="H44" s="26"/>
    </row>
    <row r="45">
      <c r="B45" s="26"/>
      <c r="C45" s="26"/>
      <c r="D45" s="32"/>
      <c r="E45" s="26"/>
      <c r="F45" s="26"/>
      <c r="G45" s="28"/>
      <c r="H45" s="26"/>
    </row>
    <row r="46">
      <c r="B46" s="26"/>
      <c r="C46" s="26"/>
      <c r="D46" s="26"/>
      <c r="E46" s="26"/>
      <c r="F46" s="26"/>
      <c r="G46" s="26"/>
      <c r="H46" s="26"/>
    </row>
    <row r="47">
      <c r="B47" s="26"/>
      <c r="C47" s="26"/>
      <c r="D47" s="26"/>
      <c r="E47" s="26"/>
      <c r="F47" s="26"/>
      <c r="G47" s="26"/>
      <c r="H47" s="26"/>
    </row>
    <row r="48">
      <c r="B48" s="26"/>
      <c r="C48" s="26"/>
      <c r="D48" s="26"/>
      <c r="E48" s="26"/>
      <c r="F48" s="26"/>
      <c r="G48" s="26"/>
      <c r="H48" s="26"/>
    </row>
    <row r="49">
      <c r="B49" s="26"/>
      <c r="C49" s="26"/>
      <c r="D49" s="26"/>
      <c r="E49" s="26"/>
      <c r="F49" s="26"/>
      <c r="G49" s="26"/>
      <c r="H49" s="26"/>
    </row>
    <row r="59">
      <c r="B59" s="38"/>
      <c r="C59" s="38"/>
      <c r="D59" s="15"/>
    </row>
  </sheetData>
  <mergeCells count="6">
    <mergeCell ref="E2:G2"/>
    <mergeCell ref="E3:G3"/>
    <mergeCell ref="E5:G5"/>
    <mergeCell ref="C14:C16"/>
    <mergeCell ref="C18:C20"/>
    <mergeCell ref="B33:C33"/>
  </mergeCells>
  <hyperlinks>
    <hyperlink r:id="rId1" ref="E3"/>
    <hyperlink r:id="rId2" ref="G4"/>
    <hyperlink r:id="rId3" ref="G10"/>
    <hyperlink r:id="rId4" ref="G11"/>
    <hyperlink r:id="rId5" ref="G12"/>
    <hyperlink r:id="rId6" ref="G13"/>
    <hyperlink r:id="rId7" ref="G14"/>
    <hyperlink r:id="rId8" ref="G15"/>
    <hyperlink r:id="rId9" ref="G16"/>
    <hyperlink r:id="rId10" ref="G17"/>
    <hyperlink r:id="rId11" ref="G18"/>
    <hyperlink r:id="rId12" ref="G19"/>
    <hyperlink r:id="rId13" ref="G20"/>
    <hyperlink r:id="rId14" ref="G21"/>
    <hyperlink r:id="rId15" ref="G22"/>
    <hyperlink r:id="rId16" ref="G23"/>
    <hyperlink r:id="rId17" ref="G24"/>
    <hyperlink r:id="rId18" ref="C26"/>
    <hyperlink r:id="rId19" ref="G26"/>
    <hyperlink r:id="rId20" ref="C27"/>
    <hyperlink r:id="rId21" ref="G27"/>
    <hyperlink r:id="rId22" ref="G29"/>
    <hyperlink r:id="rId23" ref="G30"/>
    <hyperlink r:id="rId24" ref="G34"/>
    <hyperlink r:id="rId25" ref="G35"/>
    <hyperlink r:id="rId26" ref="G37"/>
    <hyperlink r:id="rId27" ref="G38"/>
    <hyperlink r:id="rId28" ref="G39"/>
  </hyperlinks>
  <drawing r:id="rId29"/>
</worksheet>
</file>